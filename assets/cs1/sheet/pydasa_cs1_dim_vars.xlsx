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4428830306c10d/Documents/GitHub/DASA-Design/PyDASA-Case-Studies/assets/cs1/sheet/"/>
    </mc:Choice>
  </mc:AlternateContent>
  <xr:revisionPtr revIDLastSave="248" documentId="13_ncr:1_{D95395EB-DBE5-4D0C-A905-FDA3E5BFB6FB}" xr6:coauthVersionLast="47" xr6:coauthVersionMax="47" xr10:uidLastSave="{A2222844-FF56-4EDA-8ED4-1924873908CD}"/>
  <bookViews>
    <workbookView minimized="1" xWindow="4000" yWindow="3967" windowWidth="7540" windowHeight="6000" xr2:uid="{EABAE1E3-9871-4CDD-80AF-2EA34DC987B5}"/>
  </bookViews>
  <sheets>
    <sheet name="dflt_relevance_lt@3FDUs" sheetId="1" r:id="rId1"/>
    <sheet name="Sheet1" sheetId="22" r:id="rId2"/>
    <sheet name="opti_relevance_lt@3FDUs " sheetId="2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3" i="28" l="1"/>
  <c r="M113" i="28"/>
  <c r="L58" i="28"/>
  <c r="M58" i="28"/>
  <c r="M134" i="28"/>
  <c r="L134" i="28"/>
  <c r="L137" i="28"/>
  <c r="M137" i="28"/>
  <c r="M123" i="28"/>
  <c r="L123" i="28"/>
  <c r="L126" i="28"/>
  <c r="M126" i="28"/>
  <c r="M112" i="28"/>
  <c r="L112" i="28"/>
  <c r="L115" i="28"/>
  <c r="M115" i="28"/>
  <c r="M101" i="28"/>
  <c r="L101" i="28"/>
  <c r="L104" i="28"/>
  <c r="M104" i="28"/>
  <c r="M90" i="28"/>
  <c r="L90" i="28"/>
  <c r="M93" i="28"/>
  <c r="M79" i="28"/>
  <c r="L79" i="28"/>
  <c r="M82" i="28"/>
  <c r="L82" i="28"/>
  <c r="M68" i="28"/>
  <c r="L68" i="28"/>
  <c r="L71" i="28"/>
  <c r="M71" i="28"/>
  <c r="M57" i="28"/>
  <c r="L57" i="28"/>
  <c r="L60" i="28"/>
  <c r="M60" i="28"/>
  <c r="M46" i="28"/>
  <c r="L46" i="28"/>
  <c r="L49" i="28"/>
  <c r="M49" i="28"/>
  <c r="M35" i="28"/>
  <c r="L35" i="28"/>
  <c r="L38" i="28"/>
  <c r="M38" i="28"/>
  <c r="M27" i="28"/>
  <c r="M24" i="28"/>
  <c r="L91" i="1"/>
  <c r="M91" i="1"/>
  <c r="M137" i="1"/>
  <c r="M134" i="1"/>
  <c r="M93" i="1"/>
  <c r="M90" i="1"/>
  <c r="M57" i="1"/>
  <c r="L57" i="1"/>
  <c r="M46" i="1"/>
  <c r="L46" i="1"/>
  <c r="M35" i="1"/>
  <c r="L35" i="1"/>
  <c r="M13" i="1"/>
  <c r="L13" i="1"/>
  <c r="M24" i="1"/>
  <c r="L24" i="1"/>
  <c r="M68" i="1"/>
  <c r="L68" i="1"/>
  <c r="M79" i="1"/>
  <c r="L79" i="1"/>
  <c r="L90" i="1"/>
  <c r="M101" i="1"/>
  <c r="L101" i="1"/>
  <c r="M112" i="1"/>
  <c r="L112" i="1"/>
  <c r="M123" i="1"/>
  <c r="L123" i="1"/>
  <c r="L134" i="1"/>
  <c r="N68" i="1"/>
  <c r="N57" i="1"/>
  <c r="N5" i="1"/>
  <c r="L60" i="1"/>
  <c r="M60" i="1"/>
  <c r="M2" i="1"/>
  <c r="L2" i="1"/>
  <c r="M2" i="28"/>
  <c r="L2" i="28"/>
  <c r="N57" i="28"/>
  <c r="R57" i="28" s="1"/>
  <c r="N46" i="28"/>
  <c r="Q57" i="28"/>
  <c r="Q59" i="28"/>
  <c r="U59" i="28" s="1"/>
  <c r="R59" i="28"/>
  <c r="P59" i="28"/>
  <c r="P48" i="28"/>
  <c r="U144" i="28"/>
  <c r="R144" i="28"/>
  <c r="Q144" i="28"/>
  <c r="P144" i="28"/>
  <c r="U143" i="28"/>
  <c r="R143" i="28"/>
  <c r="Q143" i="28"/>
  <c r="P143" i="28"/>
  <c r="U142" i="28"/>
  <c r="P142" i="28"/>
  <c r="M142" i="28"/>
  <c r="Q142" i="28" s="1"/>
  <c r="U141" i="28"/>
  <c r="P141" i="28"/>
  <c r="M141" i="28"/>
  <c r="T140" i="28"/>
  <c r="P140" i="28"/>
  <c r="M140" i="28"/>
  <c r="P139" i="28"/>
  <c r="M139" i="28"/>
  <c r="N139" i="28" s="1"/>
  <c r="R139" i="28" s="1"/>
  <c r="T138" i="28"/>
  <c r="P138" i="28"/>
  <c r="M138" i="28"/>
  <c r="Q138" i="28" s="1"/>
  <c r="U137" i="28"/>
  <c r="Q137" i="28"/>
  <c r="P137" i="28"/>
  <c r="T136" i="28"/>
  <c r="R136" i="28"/>
  <c r="Q136" i="28"/>
  <c r="U136" i="28" s="1"/>
  <c r="P136" i="28"/>
  <c r="T135" i="28"/>
  <c r="M135" i="28"/>
  <c r="Q135" i="28" s="1"/>
  <c r="L135" i="28"/>
  <c r="P135" i="28" s="1"/>
  <c r="T134" i="28"/>
  <c r="Q134" i="28"/>
  <c r="P134" i="28"/>
  <c r="N134" i="28"/>
  <c r="R134" i="28" s="1"/>
  <c r="U133" i="28"/>
  <c r="R133" i="28"/>
  <c r="Q133" i="28"/>
  <c r="P133" i="28"/>
  <c r="U132" i="28"/>
  <c r="R132" i="28"/>
  <c r="Q132" i="28"/>
  <c r="P132" i="28"/>
  <c r="U131" i="28"/>
  <c r="P131" i="28"/>
  <c r="M131" i="28"/>
  <c r="Q131" i="28" s="1"/>
  <c r="U130" i="28"/>
  <c r="P130" i="28"/>
  <c r="M130" i="28"/>
  <c r="Q130" i="28" s="1"/>
  <c r="T129" i="28"/>
  <c r="P129" i="28"/>
  <c r="M129" i="28"/>
  <c r="P128" i="28"/>
  <c r="M128" i="28"/>
  <c r="Q128" i="28" s="1"/>
  <c r="T127" i="28"/>
  <c r="P127" i="28"/>
  <c r="M127" i="28"/>
  <c r="Q127" i="28" s="1"/>
  <c r="U126" i="28"/>
  <c r="Q126" i="28"/>
  <c r="P126" i="28"/>
  <c r="T125" i="28"/>
  <c r="R125" i="28"/>
  <c r="Q125" i="28"/>
  <c r="U125" i="28" s="1"/>
  <c r="P125" i="28"/>
  <c r="T124" i="28"/>
  <c r="M124" i="28"/>
  <c r="Q124" i="28" s="1"/>
  <c r="L124" i="28"/>
  <c r="P124" i="28" s="1"/>
  <c r="T123" i="28"/>
  <c r="P123" i="28"/>
  <c r="U122" i="28"/>
  <c r="R122" i="28"/>
  <c r="Q122" i="28"/>
  <c r="P122" i="28"/>
  <c r="U121" i="28"/>
  <c r="R121" i="28"/>
  <c r="Q121" i="28"/>
  <c r="P121" i="28"/>
  <c r="U120" i="28"/>
  <c r="P120" i="28"/>
  <c r="M120" i="28"/>
  <c r="N120" i="28" s="1"/>
  <c r="R120" i="28" s="1"/>
  <c r="U119" i="28"/>
  <c r="P119" i="28"/>
  <c r="M119" i="28"/>
  <c r="Q119" i="28" s="1"/>
  <c r="T118" i="28"/>
  <c r="P118" i="28"/>
  <c r="M118" i="28"/>
  <c r="Q118" i="28" s="1"/>
  <c r="P117" i="28"/>
  <c r="M117" i="28"/>
  <c r="Q117" i="28" s="1"/>
  <c r="T116" i="28"/>
  <c r="P116" i="28"/>
  <c r="M116" i="28"/>
  <c r="U115" i="28"/>
  <c r="Q115" i="28"/>
  <c r="P115" i="28"/>
  <c r="N115" i="28"/>
  <c r="R115" i="28" s="1"/>
  <c r="T114" i="28"/>
  <c r="R114" i="28"/>
  <c r="Q114" i="28"/>
  <c r="U114" i="28" s="1"/>
  <c r="P114" i="28"/>
  <c r="T113" i="28"/>
  <c r="Q113" i="28"/>
  <c r="P113" i="28"/>
  <c r="T112" i="28"/>
  <c r="P112" i="28"/>
  <c r="Q112" i="28"/>
  <c r="U111" i="28"/>
  <c r="R111" i="28"/>
  <c r="Q111" i="28"/>
  <c r="P111" i="28"/>
  <c r="U110" i="28"/>
  <c r="R110" i="28"/>
  <c r="Q110" i="28"/>
  <c r="P110" i="28"/>
  <c r="U109" i="28"/>
  <c r="P109" i="28"/>
  <c r="M109" i="28"/>
  <c r="Q109" i="28" s="1"/>
  <c r="U108" i="28"/>
  <c r="P108" i="28"/>
  <c r="M108" i="28"/>
  <c r="Q108" i="28" s="1"/>
  <c r="T107" i="28"/>
  <c r="Q107" i="28"/>
  <c r="P107" i="28"/>
  <c r="N107" i="28"/>
  <c r="R107" i="28" s="1"/>
  <c r="M107" i="28"/>
  <c r="P106" i="28"/>
  <c r="M106" i="28"/>
  <c r="Q106" i="28" s="1"/>
  <c r="T105" i="28"/>
  <c r="P105" i="28"/>
  <c r="M105" i="28"/>
  <c r="Q105" i="28" s="1"/>
  <c r="U104" i="28"/>
  <c r="Q104" i="28"/>
  <c r="P104" i="28"/>
  <c r="T103" i="28"/>
  <c r="R103" i="28"/>
  <c r="Q103" i="28"/>
  <c r="U103" i="28" s="1"/>
  <c r="P103" i="28"/>
  <c r="T102" i="28"/>
  <c r="Q102" i="28"/>
  <c r="P102" i="28"/>
  <c r="M102" i="28"/>
  <c r="L102" i="28"/>
  <c r="N102" i="28" s="1"/>
  <c r="R102" i="28" s="1"/>
  <c r="T101" i="28"/>
  <c r="P101" i="28"/>
  <c r="Q101" i="28"/>
  <c r="U100" i="28"/>
  <c r="R100" i="28"/>
  <c r="Q100" i="28"/>
  <c r="P100" i="28"/>
  <c r="U99" i="28"/>
  <c r="R99" i="28"/>
  <c r="Q99" i="28"/>
  <c r="P99" i="28"/>
  <c r="U98" i="28"/>
  <c r="P98" i="28"/>
  <c r="M98" i="28"/>
  <c r="Q98" i="28" s="1"/>
  <c r="U97" i="28"/>
  <c r="P97" i="28"/>
  <c r="M97" i="28"/>
  <c r="Q97" i="28" s="1"/>
  <c r="T96" i="28"/>
  <c r="P96" i="28"/>
  <c r="M96" i="28"/>
  <c r="Q96" i="28" s="1"/>
  <c r="P95" i="28"/>
  <c r="M95" i="28"/>
  <c r="N95" i="28" s="1"/>
  <c r="R95" i="28" s="1"/>
  <c r="T94" i="28"/>
  <c r="P94" i="28"/>
  <c r="M94" i="28"/>
  <c r="Q94" i="28" s="1"/>
  <c r="U93" i="28"/>
  <c r="Q93" i="28"/>
  <c r="L93" i="28"/>
  <c r="T92" i="28"/>
  <c r="R92" i="28"/>
  <c r="Q92" i="28"/>
  <c r="U92" i="28" s="1"/>
  <c r="P92" i="28"/>
  <c r="T91" i="28"/>
  <c r="Q91" i="28"/>
  <c r="P91" i="28"/>
  <c r="N91" i="28"/>
  <c r="R91" i="28" s="1"/>
  <c r="M91" i="28"/>
  <c r="L91" i="28"/>
  <c r="T90" i="28"/>
  <c r="Q90" i="28"/>
  <c r="P90" i="28"/>
  <c r="N90" i="28"/>
  <c r="R90" i="28" s="1"/>
  <c r="U89" i="28"/>
  <c r="R89" i="28"/>
  <c r="Q89" i="28"/>
  <c r="P89" i="28"/>
  <c r="U88" i="28"/>
  <c r="R88" i="28"/>
  <c r="Q88" i="28"/>
  <c r="P88" i="28"/>
  <c r="U87" i="28"/>
  <c r="P87" i="28"/>
  <c r="M87" i="28"/>
  <c r="Q87" i="28" s="1"/>
  <c r="U86" i="28"/>
  <c r="P86" i="28"/>
  <c r="M86" i="28"/>
  <c r="T85" i="28"/>
  <c r="P85" i="28"/>
  <c r="N85" i="28"/>
  <c r="R85" i="28" s="1"/>
  <c r="M85" i="28"/>
  <c r="Q85" i="28" s="1"/>
  <c r="P84" i="28"/>
  <c r="M84" i="28"/>
  <c r="T83" i="28"/>
  <c r="P83" i="28"/>
  <c r="M83" i="28"/>
  <c r="Q83" i="28" s="1"/>
  <c r="U82" i="28"/>
  <c r="Q82" i="28"/>
  <c r="T81" i="28"/>
  <c r="R81" i="28"/>
  <c r="Q81" i="28"/>
  <c r="U81" i="28" s="1"/>
  <c r="P81" i="28"/>
  <c r="T80" i="28"/>
  <c r="Q80" i="28"/>
  <c r="P80" i="28"/>
  <c r="M80" i="28"/>
  <c r="L80" i="28"/>
  <c r="T79" i="28"/>
  <c r="P79" i="28"/>
  <c r="U78" i="28"/>
  <c r="R78" i="28"/>
  <c r="Q78" i="28"/>
  <c r="P78" i="28"/>
  <c r="U77" i="28"/>
  <c r="R77" i="28"/>
  <c r="Q77" i="28"/>
  <c r="P77" i="28"/>
  <c r="U76" i="28"/>
  <c r="P76" i="28"/>
  <c r="M76" i="28"/>
  <c r="N76" i="28" s="1"/>
  <c r="R76" i="28" s="1"/>
  <c r="U75" i="28"/>
  <c r="P75" i="28"/>
  <c r="M75" i="28"/>
  <c r="T74" i="28"/>
  <c r="P74" i="28"/>
  <c r="M74" i="28"/>
  <c r="Q74" i="28" s="1"/>
  <c r="P73" i="28"/>
  <c r="M73" i="28"/>
  <c r="Q73" i="28" s="1"/>
  <c r="T72" i="28"/>
  <c r="P72" i="28"/>
  <c r="M72" i="28"/>
  <c r="N72" i="28" s="1"/>
  <c r="R72" i="28" s="1"/>
  <c r="U71" i="28"/>
  <c r="Q71" i="28"/>
  <c r="P71" i="28"/>
  <c r="N71" i="28"/>
  <c r="R71" i="28" s="1"/>
  <c r="T70" i="28"/>
  <c r="Q70" i="28"/>
  <c r="U70" i="28" s="1"/>
  <c r="P70" i="28"/>
  <c r="N70" i="28"/>
  <c r="R70" i="28" s="1"/>
  <c r="T69" i="28"/>
  <c r="M69" i="28"/>
  <c r="Q69" i="28" s="1"/>
  <c r="L69" i="28"/>
  <c r="P69" i="28" s="1"/>
  <c r="T68" i="28"/>
  <c r="R68" i="28"/>
  <c r="P68" i="28"/>
  <c r="Q68" i="28"/>
  <c r="U67" i="28"/>
  <c r="R67" i="28"/>
  <c r="Q67" i="28"/>
  <c r="P67" i="28"/>
  <c r="U66" i="28"/>
  <c r="R66" i="28"/>
  <c r="Q66" i="28"/>
  <c r="P66" i="28"/>
  <c r="U65" i="28"/>
  <c r="P65" i="28"/>
  <c r="M65" i="28"/>
  <c r="N65" i="28" s="1"/>
  <c r="R65" i="28" s="1"/>
  <c r="U64" i="28"/>
  <c r="P64" i="28"/>
  <c r="M64" i="28"/>
  <c r="N64" i="28" s="1"/>
  <c r="R64" i="28" s="1"/>
  <c r="T63" i="28"/>
  <c r="P63" i="28"/>
  <c r="N63" i="28"/>
  <c r="R63" i="28" s="1"/>
  <c r="M63" i="28"/>
  <c r="Q63" i="28" s="1"/>
  <c r="P62" i="28"/>
  <c r="M62" i="28"/>
  <c r="Q62" i="28" s="1"/>
  <c r="T61" i="28"/>
  <c r="P61" i="28"/>
  <c r="M61" i="28"/>
  <c r="Q61" i="28" s="1"/>
  <c r="U60" i="28"/>
  <c r="P60" i="28"/>
  <c r="T59" i="28"/>
  <c r="T58" i="28"/>
  <c r="P58" i="28"/>
  <c r="Q58" i="28"/>
  <c r="N58" i="28"/>
  <c r="R58" i="28" s="1"/>
  <c r="T57" i="28"/>
  <c r="P57" i="28"/>
  <c r="U56" i="28"/>
  <c r="R56" i="28"/>
  <c r="Q56" i="28"/>
  <c r="P56" i="28"/>
  <c r="U55" i="28"/>
  <c r="R55" i="28"/>
  <c r="Q55" i="28"/>
  <c r="P55" i="28"/>
  <c r="U54" i="28"/>
  <c r="P54" i="28"/>
  <c r="M54" i="28"/>
  <c r="Q54" i="28" s="1"/>
  <c r="U53" i="28"/>
  <c r="P53" i="28"/>
  <c r="M53" i="28"/>
  <c r="T52" i="28"/>
  <c r="Q52" i="28"/>
  <c r="P52" i="28"/>
  <c r="M52" i="28"/>
  <c r="N52" i="28" s="1"/>
  <c r="R52" i="28" s="1"/>
  <c r="P51" i="28"/>
  <c r="M51" i="28"/>
  <c r="Q51" i="28" s="1"/>
  <c r="T50" i="28"/>
  <c r="P50" i="28"/>
  <c r="M50" i="28"/>
  <c r="Q50" i="28" s="1"/>
  <c r="U49" i="28"/>
  <c r="Q49" i="28"/>
  <c r="T48" i="28"/>
  <c r="Q48" i="28"/>
  <c r="U48" i="28" s="1"/>
  <c r="N48" i="28"/>
  <c r="R48" i="28" s="1"/>
  <c r="T47" i="28"/>
  <c r="Q47" i="28"/>
  <c r="P47" i="28"/>
  <c r="N47" i="28"/>
  <c r="R47" i="28" s="1"/>
  <c r="M47" i="28"/>
  <c r="L47" i="28"/>
  <c r="T46" i="28"/>
  <c r="P46" i="28"/>
  <c r="Q46" i="28"/>
  <c r="U45" i="28"/>
  <c r="R45" i="28"/>
  <c r="Q45" i="28"/>
  <c r="P45" i="28"/>
  <c r="U44" i="28"/>
  <c r="R44" i="28"/>
  <c r="Q44" i="28"/>
  <c r="P44" i="28"/>
  <c r="U43" i="28"/>
  <c r="P43" i="28"/>
  <c r="M43" i="28"/>
  <c r="Q43" i="28" s="1"/>
  <c r="U42" i="28"/>
  <c r="P42" i="28"/>
  <c r="M42" i="28"/>
  <c r="Q42" i="28" s="1"/>
  <c r="T41" i="28"/>
  <c r="Q41" i="28"/>
  <c r="P41" i="28"/>
  <c r="N41" i="28"/>
  <c r="R41" i="28" s="1"/>
  <c r="M41" i="28"/>
  <c r="P40" i="28"/>
  <c r="M40" i="28"/>
  <c r="N40" i="28" s="1"/>
  <c r="R40" i="28" s="1"/>
  <c r="T39" i="28"/>
  <c r="P39" i="28"/>
  <c r="M39" i="28"/>
  <c r="Q39" i="28" s="1"/>
  <c r="U38" i="28"/>
  <c r="P38" i="28"/>
  <c r="Q38" i="28"/>
  <c r="N38" i="28"/>
  <c r="R38" i="28" s="1"/>
  <c r="T37" i="28"/>
  <c r="R37" i="28"/>
  <c r="Q37" i="28"/>
  <c r="U37" i="28" s="1"/>
  <c r="P37" i="28"/>
  <c r="T36" i="28"/>
  <c r="N36" i="28"/>
  <c r="R36" i="28" s="1"/>
  <c r="M36" i="28"/>
  <c r="Q36" i="28" s="1"/>
  <c r="L36" i="28"/>
  <c r="P36" i="28" s="1"/>
  <c r="T35" i="28"/>
  <c r="Q35" i="28"/>
  <c r="P35" i="28"/>
  <c r="N35" i="28"/>
  <c r="R35" i="28" s="1"/>
  <c r="U34" i="28"/>
  <c r="R34" i="28"/>
  <c r="Q34" i="28"/>
  <c r="P34" i="28"/>
  <c r="U33" i="28"/>
  <c r="R33" i="28"/>
  <c r="Q33" i="28"/>
  <c r="P33" i="28"/>
  <c r="U32" i="28"/>
  <c r="P32" i="28"/>
  <c r="M32" i="28"/>
  <c r="Q32" i="28" s="1"/>
  <c r="U31" i="28"/>
  <c r="P31" i="28"/>
  <c r="M31" i="28"/>
  <c r="N31" i="28" s="1"/>
  <c r="R31" i="28" s="1"/>
  <c r="T30" i="28"/>
  <c r="P30" i="28"/>
  <c r="M30" i="28"/>
  <c r="Q30" i="28" s="1"/>
  <c r="P29" i="28"/>
  <c r="M29" i="28"/>
  <c r="T28" i="28"/>
  <c r="P28" i="28"/>
  <c r="M28" i="28"/>
  <c r="Q28" i="28" s="1"/>
  <c r="U27" i="28"/>
  <c r="Q27" i="28"/>
  <c r="L27" i="28"/>
  <c r="P27" i="28" s="1"/>
  <c r="T26" i="28"/>
  <c r="R26" i="28"/>
  <c r="Q26" i="28"/>
  <c r="U26" i="28" s="1"/>
  <c r="P26" i="28"/>
  <c r="T25" i="28"/>
  <c r="Q25" i="28"/>
  <c r="M25" i="28"/>
  <c r="L25" i="28"/>
  <c r="P25" i="28" s="1"/>
  <c r="T24" i="28"/>
  <c r="P24" i="28"/>
  <c r="N24" i="28"/>
  <c r="R24" i="28" s="1"/>
  <c r="Q24" i="28"/>
  <c r="U23" i="28"/>
  <c r="S23" i="28"/>
  <c r="S34" i="28" s="1"/>
  <c r="S45" i="28" s="1"/>
  <c r="S56" i="28" s="1"/>
  <c r="S67" i="28" s="1"/>
  <c r="S78" i="28" s="1"/>
  <c r="S89" i="28" s="1"/>
  <c r="S100" i="28" s="1"/>
  <c r="S111" i="28" s="1"/>
  <c r="S122" i="28" s="1"/>
  <c r="S133" i="28" s="1"/>
  <c r="S144" i="28" s="1"/>
  <c r="R23" i="28"/>
  <c r="Q23" i="28"/>
  <c r="P23" i="28"/>
  <c r="K23" i="28"/>
  <c r="K34" i="28" s="1"/>
  <c r="J23" i="28"/>
  <c r="J34" i="28" s="1"/>
  <c r="J45" i="28" s="1"/>
  <c r="J56" i="28" s="1"/>
  <c r="J67" i="28" s="1"/>
  <c r="J78" i="28" s="1"/>
  <c r="J89" i="28" s="1"/>
  <c r="J100" i="28" s="1"/>
  <c r="J111" i="28" s="1"/>
  <c r="J122" i="28" s="1"/>
  <c r="J133" i="28" s="1"/>
  <c r="J144" i="28" s="1"/>
  <c r="I23" i="28"/>
  <c r="I34" i="28" s="1"/>
  <c r="I45" i="28" s="1"/>
  <c r="I56" i="28" s="1"/>
  <c r="I67" i="28" s="1"/>
  <c r="I78" i="28" s="1"/>
  <c r="I89" i="28" s="1"/>
  <c r="I100" i="28" s="1"/>
  <c r="I111" i="28" s="1"/>
  <c r="I122" i="28" s="1"/>
  <c r="I133" i="28" s="1"/>
  <c r="I144" i="28" s="1"/>
  <c r="H23" i="28"/>
  <c r="H34" i="28" s="1"/>
  <c r="H45" i="28" s="1"/>
  <c r="H56" i="28" s="1"/>
  <c r="H67" i="28" s="1"/>
  <c r="H78" i="28" s="1"/>
  <c r="H89" i="28" s="1"/>
  <c r="H100" i="28" s="1"/>
  <c r="H111" i="28" s="1"/>
  <c r="H122" i="28" s="1"/>
  <c r="H133" i="28" s="1"/>
  <c r="H144" i="28" s="1"/>
  <c r="E23" i="28"/>
  <c r="E34" i="28" s="1"/>
  <c r="E45" i="28" s="1"/>
  <c r="E56" i="28" s="1"/>
  <c r="E67" i="28" s="1"/>
  <c r="E78" i="28" s="1"/>
  <c r="E89" i="28" s="1"/>
  <c r="E100" i="28" s="1"/>
  <c r="E111" i="28" s="1"/>
  <c r="E122" i="28" s="1"/>
  <c r="E133" i="28" s="1"/>
  <c r="E144" i="28" s="1"/>
  <c r="B23" i="28"/>
  <c r="G23" i="28" s="1"/>
  <c r="U22" i="28"/>
  <c r="S22" i="28"/>
  <c r="S33" i="28" s="1"/>
  <c r="S44" i="28" s="1"/>
  <c r="S55" i="28" s="1"/>
  <c r="S66" i="28" s="1"/>
  <c r="S77" i="28" s="1"/>
  <c r="S88" i="28" s="1"/>
  <c r="S99" i="28" s="1"/>
  <c r="S110" i="28" s="1"/>
  <c r="S121" i="28" s="1"/>
  <c r="S132" i="28" s="1"/>
  <c r="S143" i="28" s="1"/>
  <c r="R22" i="28"/>
  <c r="Q22" i="28"/>
  <c r="P22" i="28"/>
  <c r="K22" i="28"/>
  <c r="J22" i="28"/>
  <c r="J33" i="28" s="1"/>
  <c r="J44" i="28" s="1"/>
  <c r="J55" i="28" s="1"/>
  <c r="J66" i="28" s="1"/>
  <c r="J77" i="28" s="1"/>
  <c r="J88" i="28" s="1"/>
  <c r="J99" i="28" s="1"/>
  <c r="J110" i="28" s="1"/>
  <c r="J121" i="28" s="1"/>
  <c r="J132" i="28" s="1"/>
  <c r="J143" i="28" s="1"/>
  <c r="I22" i="28"/>
  <c r="I33" i="28" s="1"/>
  <c r="I44" i="28" s="1"/>
  <c r="I55" i="28" s="1"/>
  <c r="I66" i="28" s="1"/>
  <c r="I77" i="28" s="1"/>
  <c r="I88" i="28" s="1"/>
  <c r="I99" i="28" s="1"/>
  <c r="I110" i="28" s="1"/>
  <c r="I121" i="28" s="1"/>
  <c r="I132" i="28" s="1"/>
  <c r="I143" i="28" s="1"/>
  <c r="H22" i="28"/>
  <c r="H33" i="28" s="1"/>
  <c r="H44" i="28" s="1"/>
  <c r="H55" i="28" s="1"/>
  <c r="H66" i="28" s="1"/>
  <c r="H77" i="28" s="1"/>
  <c r="H88" i="28" s="1"/>
  <c r="H99" i="28" s="1"/>
  <c r="H110" i="28" s="1"/>
  <c r="H121" i="28" s="1"/>
  <c r="H132" i="28" s="1"/>
  <c r="H143" i="28" s="1"/>
  <c r="E22" i="28"/>
  <c r="E33" i="28" s="1"/>
  <c r="E44" i="28" s="1"/>
  <c r="E55" i="28" s="1"/>
  <c r="E66" i="28" s="1"/>
  <c r="E77" i="28" s="1"/>
  <c r="E88" i="28" s="1"/>
  <c r="E99" i="28" s="1"/>
  <c r="E110" i="28" s="1"/>
  <c r="E121" i="28" s="1"/>
  <c r="E132" i="28" s="1"/>
  <c r="E143" i="28" s="1"/>
  <c r="B22" i="28"/>
  <c r="G22" i="28" s="1"/>
  <c r="U21" i="28"/>
  <c r="S21" i="28"/>
  <c r="S32" i="28" s="1"/>
  <c r="S43" i="28" s="1"/>
  <c r="S54" i="28" s="1"/>
  <c r="S65" i="28" s="1"/>
  <c r="S76" i="28" s="1"/>
  <c r="S87" i="28" s="1"/>
  <c r="S98" i="28" s="1"/>
  <c r="S109" i="28" s="1"/>
  <c r="S120" i="28" s="1"/>
  <c r="S131" i="28" s="1"/>
  <c r="S142" i="28" s="1"/>
  <c r="P21" i="28"/>
  <c r="M21" i="28"/>
  <c r="N21" i="28" s="1"/>
  <c r="R21" i="28" s="1"/>
  <c r="K21" i="28"/>
  <c r="K32" i="28" s="1"/>
  <c r="J21" i="28"/>
  <c r="J32" i="28" s="1"/>
  <c r="J43" i="28" s="1"/>
  <c r="J54" i="28" s="1"/>
  <c r="J65" i="28" s="1"/>
  <c r="J76" i="28" s="1"/>
  <c r="J87" i="28" s="1"/>
  <c r="J98" i="28" s="1"/>
  <c r="J109" i="28" s="1"/>
  <c r="J120" i="28" s="1"/>
  <c r="J131" i="28" s="1"/>
  <c r="J142" i="28" s="1"/>
  <c r="I21" i="28"/>
  <c r="I32" i="28" s="1"/>
  <c r="I43" i="28" s="1"/>
  <c r="I54" i="28" s="1"/>
  <c r="I65" i="28" s="1"/>
  <c r="I76" i="28" s="1"/>
  <c r="I87" i="28" s="1"/>
  <c r="I98" i="28" s="1"/>
  <c r="I109" i="28" s="1"/>
  <c r="I120" i="28" s="1"/>
  <c r="I131" i="28" s="1"/>
  <c r="I142" i="28" s="1"/>
  <c r="H21" i="28"/>
  <c r="H32" i="28" s="1"/>
  <c r="H43" i="28" s="1"/>
  <c r="H54" i="28" s="1"/>
  <c r="H65" i="28" s="1"/>
  <c r="H76" i="28" s="1"/>
  <c r="H87" i="28" s="1"/>
  <c r="H98" i="28" s="1"/>
  <c r="H109" i="28" s="1"/>
  <c r="H120" i="28" s="1"/>
  <c r="H131" i="28" s="1"/>
  <c r="H142" i="28" s="1"/>
  <c r="E21" i="28"/>
  <c r="E32" i="28" s="1"/>
  <c r="E43" i="28" s="1"/>
  <c r="E54" i="28" s="1"/>
  <c r="E65" i="28" s="1"/>
  <c r="E76" i="28" s="1"/>
  <c r="E87" i="28" s="1"/>
  <c r="E98" i="28" s="1"/>
  <c r="E109" i="28" s="1"/>
  <c r="E120" i="28" s="1"/>
  <c r="E131" i="28" s="1"/>
  <c r="E142" i="28" s="1"/>
  <c r="B21" i="28"/>
  <c r="U20" i="28"/>
  <c r="S20" i="28"/>
  <c r="S31" i="28" s="1"/>
  <c r="S42" i="28" s="1"/>
  <c r="S53" i="28" s="1"/>
  <c r="S64" i="28" s="1"/>
  <c r="S75" i="28" s="1"/>
  <c r="S86" i="28" s="1"/>
  <c r="S97" i="28" s="1"/>
  <c r="S108" i="28" s="1"/>
  <c r="S119" i="28" s="1"/>
  <c r="S130" i="28" s="1"/>
  <c r="S141" i="28" s="1"/>
  <c r="P20" i="28"/>
  <c r="M20" i="28"/>
  <c r="Q20" i="28" s="1"/>
  <c r="K20" i="28"/>
  <c r="O20" i="28" s="1"/>
  <c r="J20" i="28"/>
  <c r="J31" i="28" s="1"/>
  <c r="J42" i="28" s="1"/>
  <c r="J53" i="28" s="1"/>
  <c r="J64" i="28" s="1"/>
  <c r="J75" i="28" s="1"/>
  <c r="J86" i="28" s="1"/>
  <c r="J97" i="28" s="1"/>
  <c r="J108" i="28" s="1"/>
  <c r="J119" i="28" s="1"/>
  <c r="J130" i="28" s="1"/>
  <c r="J141" i="28" s="1"/>
  <c r="I20" i="28"/>
  <c r="I31" i="28" s="1"/>
  <c r="I42" i="28" s="1"/>
  <c r="I53" i="28" s="1"/>
  <c r="I64" i="28" s="1"/>
  <c r="I75" i="28" s="1"/>
  <c r="I86" i="28" s="1"/>
  <c r="I97" i="28" s="1"/>
  <c r="I108" i="28" s="1"/>
  <c r="I119" i="28" s="1"/>
  <c r="I130" i="28" s="1"/>
  <c r="I141" i="28" s="1"/>
  <c r="H20" i="28"/>
  <c r="H31" i="28" s="1"/>
  <c r="H42" i="28" s="1"/>
  <c r="H53" i="28" s="1"/>
  <c r="H64" i="28" s="1"/>
  <c r="H75" i="28" s="1"/>
  <c r="H86" i="28" s="1"/>
  <c r="H97" i="28" s="1"/>
  <c r="H108" i="28" s="1"/>
  <c r="H119" i="28" s="1"/>
  <c r="H130" i="28" s="1"/>
  <c r="H141" i="28" s="1"/>
  <c r="E20" i="28"/>
  <c r="E31" i="28" s="1"/>
  <c r="E42" i="28" s="1"/>
  <c r="E53" i="28" s="1"/>
  <c r="E64" i="28" s="1"/>
  <c r="E75" i="28" s="1"/>
  <c r="E86" i="28" s="1"/>
  <c r="E97" i="28" s="1"/>
  <c r="E108" i="28" s="1"/>
  <c r="E119" i="28" s="1"/>
  <c r="E130" i="28" s="1"/>
  <c r="E141" i="28" s="1"/>
  <c r="B20" i="28"/>
  <c r="B31" i="28" s="1"/>
  <c r="G31" i="28" s="1"/>
  <c r="T19" i="28"/>
  <c r="S19" i="28"/>
  <c r="S30" i="28" s="1"/>
  <c r="S41" i="28" s="1"/>
  <c r="S52" i="28" s="1"/>
  <c r="S63" i="28" s="1"/>
  <c r="S74" i="28" s="1"/>
  <c r="S85" i="28" s="1"/>
  <c r="S96" i="28" s="1"/>
  <c r="S107" i="28" s="1"/>
  <c r="S118" i="28" s="1"/>
  <c r="S129" i="28" s="1"/>
  <c r="S140" i="28" s="1"/>
  <c r="Q19" i="28"/>
  <c r="P19" i="28"/>
  <c r="N19" i="28"/>
  <c r="R19" i="28" s="1"/>
  <c r="M19" i="28"/>
  <c r="K19" i="28"/>
  <c r="K30" i="28" s="1"/>
  <c r="K41" i="28" s="1"/>
  <c r="K52" i="28" s="1"/>
  <c r="K63" i="28" s="1"/>
  <c r="K74" i="28" s="1"/>
  <c r="K85" i="28" s="1"/>
  <c r="K96" i="28" s="1"/>
  <c r="K107" i="28" s="1"/>
  <c r="K118" i="28" s="1"/>
  <c r="K129" i="28" s="1"/>
  <c r="K140" i="28" s="1"/>
  <c r="J19" i="28"/>
  <c r="J30" i="28" s="1"/>
  <c r="J41" i="28" s="1"/>
  <c r="J52" i="28" s="1"/>
  <c r="J63" i="28" s="1"/>
  <c r="J74" i="28" s="1"/>
  <c r="J85" i="28" s="1"/>
  <c r="J96" i="28" s="1"/>
  <c r="J107" i="28" s="1"/>
  <c r="J118" i="28" s="1"/>
  <c r="J129" i="28" s="1"/>
  <c r="J140" i="28" s="1"/>
  <c r="I19" i="28"/>
  <c r="I30" i="28" s="1"/>
  <c r="I41" i="28" s="1"/>
  <c r="I52" i="28" s="1"/>
  <c r="I63" i="28" s="1"/>
  <c r="I74" i="28" s="1"/>
  <c r="I85" i="28" s="1"/>
  <c r="I96" i="28" s="1"/>
  <c r="I107" i="28" s="1"/>
  <c r="I118" i="28" s="1"/>
  <c r="I129" i="28" s="1"/>
  <c r="I140" i="28" s="1"/>
  <c r="H19" i="28"/>
  <c r="H30" i="28" s="1"/>
  <c r="H41" i="28" s="1"/>
  <c r="H52" i="28" s="1"/>
  <c r="H63" i="28" s="1"/>
  <c r="H74" i="28" s="1"/>
  <c r="H85" i="28" s="1"/>
  <c r="H96" i="28" s="1"/>
  <c r="H107" i="28" s="1"/>
  <c r="H118" i="28" s="1"/>
  <c r="H129" i="28" s="1"/>
  <c r="H140" i="28" s="1"/>
  <c r="E19" i="28"/>
  <c r="E30" i="28" s="1"/>
  <c r="E41" i="28" s="1"/>
  <c r="E52" i="28" s="1"/>
  <c r="E63" i="28" s="1"/>
  <c r="E74" i="28" s="1"/>
  <c r="E85" i="28" s="1"/>
  <c r="E96" i="28" s="1"/>
  <c r="E107" i="28" s="1"/>
  <c r="E118" i="28" s="1"/>
  <c r="E129" i="28" s="1"/>
  <c r="E140" i="28" s="1"/>
  <c r="B19" i="28"/>
  <c r="C19" i="28" s="1"/>
  <c r="S18" i="28"/>
  <c r="S29" i="28" s="1"/>
  <c r="S40" i="28" s="1"/>
  <c r="S51" i="28" s="1"/>
  <c r="S62" i="28" s="1"/>
  <c r="S73" i="28" s="1"/>
  <c r="S84" i="28" s="1"/>
  <c r="S95" i="28" s="1"/>
  <c r="S106" i="28" s="1"/>
  <c r="S117" i="28" s="1"/>
  <c r="S128" i="28" s="1"/>
  <c r="S139" i="28" s="1"/>
  <c r="P18" i="28"/>
  <c r="M18" i="28"/>
  <c r="Q18" i="28" s="1"/>
  <c r="K18" i="28"/>
  <c r="O18" i="28" s="1"/>
  <c r="J18" i="28"/>
  <c r="J29" i="28" s="1"/>
  <c r="J40" i="28" s="1"/>
  <c r="J51" i="28" s="1"/>
  <c r="J62" i="28" s="1"/>
  <c r="J73" i="28" s="1"/>
  <c r="J84" i="28" s="1"/>
  <c r="J95" i="28" s="1"/>
  <c r="J106" i="28" s="1"/>
  <c r="J117" i="28" s="1"/>
  <c r="J128" i="28" s="1"/>
  <c r="J139" i="28" s="1"/>
  <c r="I18" i="28"/>
  <c r="I29" i="28" s="1"/>
  <c r="I40" i="28" s="1"/>
  <c r="I51" i="28" s="1"/>
  <c r="I62" i="28" s="1"/>
  <c r="I73" i="28" s="1"/>
  <c r="I84" i="28" s="1"/>
  <c r="I95" i="28" s="1"/>
  <c r="I106" i="28" s="1"/>
  <c r="I117" i="28" s="1"/>
  <c r="I128" i="28" s="1"/>
  <c r="I139" i="28" s="1"/>
  <c r="H18" i="28"/>
  <c r="H29" i="28" s="1"/>
  <c r="H40" i="28" s="1"/>
  <c r="H51" i="28" s="1"/>
  <c r="H62" i="28" s="1"/>
  <c r="H73" i="28" s="1"/>
  <c r="H84" i="28" s="1"/>
  <c r="H95" i="28" s="1"/>
  <c r="H106" i="28" s="1"/>
  <c r="H117" i="28" s="1"/>
  <c r="H128" i="28" s="1"/>
  <c r="H139" i="28" s="1"/>
  <c r="E18" i="28"/>
  <c r="E29" i="28" s="1"/>
  <c r="E40" i="28" s="1"/>
  <c r="E51" i="28" s="1"/>
  <c r="E62" i="28" s="1"/>
  <c r="E73" i="28" s="1"/>
  <c r="E84" i="28" s="1"/>
  <c r="E95" i="28" s="1"/>
  <c r="E106" i="28" s="1"/>
  <c r="E117" i="28" s="1"/>
  <c r="E128" i="28" s="1"/>
  <c r="E139" i="28" s="1"/>
  <c r="B18" i="28"/>
  <c r="C18" i="28" s="1"/>
  <c r="T17" i="28"/>
  <c r="S17" i="28"/>
  <c r="S28" i="28" s="1"/>
  <c r="S39" i="28" s="1"/>
  <c r="S50" i="28" s="1"/>
  <c r="S61" i="28" s="1"/>
  <c r="S72" i="28" s="1"/>
  <c r="S83" i="28" s="1"/>
  <c r="S94" i="28" s="1"/>
  <c r="S105" i="28" s="1"/>
  <c r="S116" i="28" s="1"/>
  <c r="S127" i="28" s="1"/>
  <c r="S138" i="28" s="1"/>
  <c r="P17" i="28"/>
  <c r="M17" i="28"/>
  <c r="Q17" i="28" s="1"/>
  <c r="K17" i="28"/>
  <c r="J17" i="28"/>
  <c r="J28" i="28" s="1"/>
  <c r="J39" i="28" s="1"/>
  <c r="J50" i="28" s="1"/>
  <c r="J61" i="28" s="1"/>
  <c r="J72" i="28" s="1"/>
  <c r="J83" i="28" s="1"/>
  <c r="J94" i="28" s="1"/>
  <c r="J105" i="28" s="1"/>
  <c r="J116" i="28" s="1"/>
  <c r="J127" i="28" s="1"/>
  <c r="J138" i="28" s="1"/>
  <c r="I17" i="28"/>
  <c r="I28" i="28" s="1"/>
  <c r="I39" i="28" s="1"/>
  <c r="I50" i="28" s="1"/>
  <c r="I61" i="28" s="1"/>
  <c r="I72" i="28" s="1"/>
  <c r="I83" i="28" s="1"/>
  <c r="I94" i="28" s="1"/>
  <c r="I105" i="28" s="1"/>
  <c r="I116" i="28" s="1"/>
  <c r="I127" i="28" s="1"/>
  <c r="I138" i="28" s="1"/>
  <c r="H17" i="28"/>
  <c r="H28" i="28" s="1"/>
  <c r="H39" i="28" s="1"/>
  <c r="H50" i="28" s="1"/>
  <c r="H61" i="28" s="1"/>
  <c r="H72" i="28" s="1"/>
  <c r="H83" i="28" s="1"/>
  <c r="H94" i="28" s="1"/>
  <c r="H105" i="28" s="1"/>
  <c r="H116" i="28" s="1"/>
  <c r="H127" i="28" s="1"/>
  <c r="H138" i="28" s="1"/>
  <c r="E17" i="28"/>
  <c r="E28" i="28" s="1"/>
  <c r="E39" i="28" s="1"/>
  <c r="E50" i="28" s="1"/>
  <c r="E61" i="28" s="1"/>
  <c r="E72" i="28" s="1"/>
  <c r="E83" i="28" s="1"/>
  <c r="E94" i="28" s="1"/>
  <c r="E105" i="28" s="1"/>
  <c r="E116" i="28" s="1"/>
  <c r="E127" i="28" s="1"/>
  <c r="E138" i="28" s="1"/>
  <c r="B17" i="28"/>
  <c r="F17" i="28" s="1"/>
  <c r="U16" i="28"/>
  <c r="S16" i="28"/>
  <c r="S27" i="28" s="1"/>
  <c r="S38" i="28" s="1"/>
  <c r="S49" i="28" s="1"/>
  <c r="S60" i="28" s="1"/>
  <c r="S71" i="28" s="1"/>
  <c r="S82" i="28" s="1"/>
  <c r="S93" i="28" s="1"/>
  <c r="S104" i="28" s="1"/>
  <c r="S115" i="28" s="1"/>
  <c r="S126" i="28" s="1"/>
  <c r="S137" i="28" s="1"/>
  <c r="P16" i="28"/>
  <c r="M16" i="28"/>
  <c r="N16" i="28" s="1"/>
  <c r="R16" i="28" s="1"/>
  <c r="L16" i="28"/>
  <c r="K16" i="28"/>
  <c r="K27" i="28" s="1"/>
  <c r="J16" i="28"/>
  <c r="J27" i="28" s="1"/>
  <c r="J38" i="28" s="1"/>
  <c r="J49" i="28" s="1"/>
  <c r="J60" i="28" s="1"/>
  <c r="J71" i="28" s="1"/>
  <c r="J82" i="28" s="1"/>
  <c r="J93" i="28" s="1"/>
  <c r="J104" i="28" s="1"/>
  <c r="J115" i="28" s="1"/>
  <c r="J126" i="28" s="1"/>
  <c r="J137" i="28" s="1"/>
  <c r="I16" i="28"/>
  <c r="I27" i="28" s="1"/>
  <c r="I38" i="28" s="1"/>
  <c r="I49" i="28" s="1"/>
  <c r="I60" i="28" s="1"/>
  <c r="I71" i="28" s="1"/>
  <c r="I82" i="28" s="1"/>
  <c r="I93" i="28" s="1"/>
  <c r="I104" i="28" s="1"/>
  <c r="I115" i="28" s="1"/>
  <c r="I126" i="28" s="1"/>
  <c r="I137" i="28" s="1"/>
  <c r="H16" i="28"/>
  <c r="H27" i="28" s="1"/>
  <c r="H38" i="28" s="1"/>
  <c r="H49" i="28" s="1"/>
  <c r="H60" i="28" s="1"/>
  <c r="H71" i="28" s="1"/>
  <c r="H82" i="28" s="1"/>
  <c r="H93" i="28" s="1"/>
  <c r="H104" i="28" s="1"/>
  <c r="H115" i="28" s="1"/>
  <c r="H126" i="28" s="1"/>
  <c r="H137" i="28" s="1"/>
  <c r="E16" i="28"/>
  <c r="E27" i="28" s="1"/>
  <c r="E38" i="28" s="1"/>
  <c r="E49" i="28" s="1"/>
  <c r="E60" i="28" s="1"/>
  <c r="E71" i="28" s="1"/>
  <c r="E82" i="28" s="1"/>
  <c r="E93" i="28" s="1"/>
  <c r="E104" i="28" s="1"/>
  <c r="E115" i="28" s="1"/>
  <c r="E126" i="28" s="1"/>
  <c r="E137" i="28" s="1"/>
  <c r="B16" i="28"/>
  <c r="G16" i="28" s="1"/>
  <c r="T15" i="28"/>
  <c r="S15" i="28"/>
  <c r="S26" i="28" s="1"/>
  <c r="S37" i="28" s="1"/>
  <c r="S48" i="28" s="1"/>
  <c r="S59" i="28" s="1"/>
  <c r="S70" i="28" s="1"/>
  <c r="S81" i="28" s="1"/>
  <c r="S92" i="28" s="1"/>
  <c r="S103" i="28" s="1"/>
  <c r="S114" i="28" s="1"/>
  <c r="S125" i="28" s="1"/>
  <c r="S136" i="28" s="1"/>
  <c r="Q15" i="28"/>
  <c r="U15" i="28" s="1"/>
  <c r="P15" i="28"/>
  <c r="N15" i="28"/>
  <c r="R15" i="28" s="1"/>
  <c r="K15" i="28"/>
  <c r="K26" i="28" s="1"/>
  <c r="J15" i="28"/>
  <c r="J26" i="28" s="1"/>
  <c r="J37" i="28" s="1"/>
  <c r="J48" i="28" s="1"/>
  <c r="J59" i="28" s="1"/>
  <c r="J70" i="28" s="1"/>
  <c r="J81" i="28" s="1"/>
  <c r="J92" i="28" s="1"/>
  <c r="J103" i="28" s="1"/>
  <c r="J114" i="28" s="1"/>
  <c r="J125" i="28" s="1"/>
  <c r="J136" i="28" s="1"/>
  <c r="I15" i="28"/>
  <c r="I26" i="28" s="1"/>
  <c r="I37" i="28" s="1"/>
  <c r="I48" i="28" s="1"/>
  <c r="I59" i="28" s="1"/>
  <c r="I70" i="28" s="1"/>
  <c r="I81" i="28" s="1"/>
  <c r="I92" i="28" s="1"/>
  <c r="I103" i="28" s="1"/>
  <c r="I114" i="28" s="1"/>
  <c r="I125" i="28" s="1"/>
  <c r="I136" i="28" s="1"/>
  <c r="H15" i="28"/>
  <c r="H26" i="28" s="1"/>
  <c r="H37" i="28" s="1"/>
  <c r="H48" i="28" s="1"/>
  <c r="H59" i="28" s="1"/>
  <c r="H70" i="28" s="1"/>
  <c r="H81" i="28" s="1"/>
  <c r="H92" i="28" s="1"/>
  <c r="H103" i="28" s="1"/>
  <c r="H114" i="28" s="1"/>
  <c r="H125" i="28" s="1"/>
  <c r="H136" i="28" s="1"/>
  <c r="E15" i="28"/>
  <c r="E26" i="28" s="1"/>
  <c r="E37" i="28" s="1"/>
  <c r="E48" i="28" s="1"/>
  <c r="E59" i="28" s="1"/>
  <c r="E70" i="28" s="1"/>
  <c r="E81" i="28" s="1"/>
  <c r="E92" i="28" s="1"/>
  <c r="E103" i="28" s="1"/>
  <c r="E114" i="28" s="1"/>
  <c r="E125" i="28" s="1"/>
  <c r="E136" i="28" s="1"/>
  <c r="B15" i="28"/>
  <c r="G15" i="28" s="1"/>
  <c r="T14" i="28"/>
  <c r="S14" i="28"/>
  <c r="S25" i="28" s="1"/>
  <c r="S36" i="28" s="1"/>
  <c r="S47" i="28" s="1"/>
  <c r="S58" i="28" s="1"/>
  <c r="S69" i="28" s="1"/>
  <c r="S80" i="28" s="1"/>
  <c r="S91" i="28" s="1"/>
  <c r="S102" i="28" s="1"/>
  <c r="S113" i="28" s="1"/>
  <c r="S124" i="28" s="1"/>
  <c r="S135" i="28" s="1"/>
  <c r="Q14" i="28"/>
  <c r="P14" i="28"/>
  <c r="N14" i="28"/>
  <c r="R14" i="28" s="1"/>
  <c r="M14" i="28"/>
  <c r="L14" i="28"/>
  <c r="K14" i="28"/>
  <c r="O14" i="28" s="1"/>
  <c r="J14" i="28"/>
  <c r="J25" i="28" s="1"/>
  <c r="J36" i="28" s="1"/>
  <c r="J47" i="28" s="1"/>
  <c r="J58" i="28" s="1"/>
  <c r="J69" i="28" s="1"/>
  <c r="J80" i="28" s="1"/>
  <c r="J91" i="28" s="1"/>
  <c r="J102" i="28" s="1"/>
  <c r="J113" i="28" s="1"/>
  <c r="J124" i="28" s="1"/>
  <c r="J135" i="28" s="1"/>
  <c r="I14" i="28"/>
  <c r="I25" i="28" s="1"/>
  <c r="I36" i="28" s="1"/>
  <c r="I47" i="28" s="1"/>
  <c r="I58" i="28" s="1"/>
  <c r="I69" i="28" s="1"/>
  <c r="I80" i="28" s="1"/>
  <c r="I91" i="28" s="1"/>
  <c r="I102" i="28" s="1"/>
  <c r="I113" i="28" s="1"/>
  <c r="I124" i="28" s="1"/>
  <c r="I135" i="28" s="1"/>
  <c r="H14" i="28"/>
  <c r="H25" i="28" s="1"/>
  <c r="H36" i="28" s="1"/>
  <c r="H47" i="28" s="1"/>
  <c r="H58" i="28" s="1"/>
  <c r="H69" i="28" s="1"/>
  <c r="H80" i="28" s="1"/>
  <c r="H91" i="28" s="1"/>
  <c r="H102" i="28" s="1"/>
  <c r="H113" i="28" s="1"/>
  <c r="H124" i="28" s="1"/>
  <c r="H135" i="28" s="1"/>
  <c r="E14" i="28"/>
  <c r="E25" i="28" s="1"/>
  <c r="E36" i="28" s="1"/>
  <c r="E47" i="28" s="1"/>
  <c r="E58" i="28" s="1"/>
  <c r="E69" i="28" s="1"/>
  <c r="E80" i="28" s="1"/>
  <c r="E91" i="28" s="1"/>
  <c r="E102" i="28" s="1"/>
  <c r="E113" i="28" s="1"/>
  <c r="E124" i="28" s="1"/>
  <c r="E135" i="28" s="1"/>
  <c r="B14" i="28"/>
  <c r="G14" i="28" s="1"/>
  <c r="T13" i="28"/>
  <c r="S13" i="28"/>
  <c r="S24" i="28" s="1"/>
  <c r="S35" i="28" s="1"/>
  <c r="S46" i="28" s="1"/>
  <c r="S57" i="28" s="1"/>
  <c r="S68" i="28" s="1"/>
  <c r="S79" i="28" s="1"/>
  <c r="S90" i="28" s="1"/>
  <c r="S101" i="28" s="1"/>
  <c r="S112" i="28" s="1"/>
  <c r="S123" i="28" s="1"/>
  <c r="S134" i="28" s="1"/>
  <c r="P13" i="28"/>
  <c r="M13" i="28"/>
  <c r="Q13" i="28" s="1"/>
  <c r="K13" i="28"/>
  <c r="O13" i="28" s="1"/>
  <c r="J13" i="28"/>
  <c r="J24" i="28" s="1"/>
  <c r="J35" i="28" s="1"/>
  <c r="J46" i="28" s="1"/>
  <c r="J57" i="28" s="1"/>
  <c r="J68" i="28" s="1"/>
  <c r="J79" i="28" s="1"/>
  <c r="J90" i="28" s="1"/>
  <c r="J101" i="28" s="1"/>
  <c r="J112" i="28" s="1"/>
  <c r="J123" i="28" s="1"/>
  <c r="J134" i="28" s="1"/>
  <c r="I13" i="28"/>
  <c r="I24" i="28" s="1"/>
  <c r="I35" i="28" s="1"/>
  <c r="I46" i="28" s="1"/>
  <c r="I57" i="28" s="1"/>
  <c r="I68" i="28" s="1"/>
  <c r="I79" i="28" s="1"/>
  <c r="I90" i="28" s="1"/>
  <c r="I101" i="28" s="1"/>
  <c r="I112" i="28" s="1"/>
  <c r="I123" i="28" s="1"/>
  <c r="I134" i="28" s="1"/>
  <c r="H13" i="28"/>
  <c r="H24" i="28" s="1"/>
  <c r="H35" i="28" s="1"/>
  <c r="H46" i="28" s="1"/>
  <c r="H57" i="28" s="1"/>
  <c r="H68" i="28" s="1"/>
  <c r="H79" i="28" s="1"/>
  <c r="H90" i="28" s="1"/>
  <c r="H101" i="28" s="1"/>
  <c r="H112" i="28" s="1"/>
  <c r="H123" i="28" s="1"/>
  <c r="H134" i="28" s="1"/>
  <c r="E13" i="28"/>
  <c r="E24" i="28" s="1"/>
  <c r="E35" i="28" s="1"/>
  <c r="E46" i="28" s="1"/>
  <c r="E57" i="28" s="1"/>
  <c r="E68" i="28" s="1"/>
  <c r="E79" i="28" s="1"/>
  <c r="E90" i="28" s="1"/>
  <c r="E101" i="28" s="1"/>
  <c r="E112" i="28" s="1"/>
  <c r="E123" i="28" s="1"/>
  <c r="E134" i="28" s="1"/>
  <c r="B13" i="28"/>
  <c r="C13" i="28" s="1"/>
  <c r="U12" i="28"/>
  <c r="R12" i="28"/>
  <c r="Q12" i="28"/>
  <c r="P12" i="28"/>
  <c r="O12" i="28"/>
  <c r="G12" i="28"/>
  <c r="F12" i="28"/>
  <c r="D12" i="28"/>
  <c r="C12" i="28"/>
  <c r="U11" i="28"/>
  <c r="R11" i="28"/>
  <c r="Q11" i="28"/>
  <c r="P11" i="28"/>
  <c r="O11" i="28"/>
  <c r="G11" i="28"/>
  <c r="F11" i="28"/>
  <c r="D11" i="28"/>
  <c r="C11" i="28"/>
  <c r="U10" i="28"/>
  <c r="P10" i="28"/>
  <c r="O10" i="28"/>
  <c r="M10" i="28"/>
  <c r="N10" i="28" s="1"/>
  <c r="R10" i="28" s="1"/>
  <c r="G10" i="28"/>
  <c r="F10" i="28"/>
  <c r="D10" i="28"/>
  <c r="C10" i="28"/>
  <c r="U9" i="28"/>
  <c r="P9" i="28"/>
  <c r="O9" i="28"/>
  <c r="M9" i="28"/>
  <c r="G9" i="28"/>
  <c r="F9" i="28"/>
  <c r="D9" i="28"/>
  <c r="C9" i="28"/>
  <c r="T8" i="28"/>
  <c r="Q8" i="28"/>
  <c r="P8" i="28"/>
  <c r="N8" i="28"/>
  <c r="R8" i="28" s="1"/>
  <c r="M8" i="28"/>
  <c r="G8" i="28"/>
  <c r="F8" i="28"/>
  <c r="D8" i="28"/>
  <c r="C8" i="28"/>
  <c r="P7" i="28"/>
  <c r="O7" i="28"/>
  <c r="M7" i="28"/>
  <c r="Q7" i="28" s="1"/>
  <c r="G7" i="28"/>
  <c r="F7" i="28"/>
  <c r="D7" i="28"/>
  <c r="C7" i="28"/>
  <c r="T6" i="28"/>
  <c r="P6" i="28"/>
  <c r="O6" i="28"/>
  <c r="M6" i="28"/>
  <c r="Q6" i="28" s="1"/>
  <c r="G6" i="28"/>
  <c r="F6" i="28"/>
  <c r="D6" i="28"/>
  <c r="C6" i="28"/>
  <c r="T7" i="28" s="1"/>
  <c r="U5" i="28"/>
  <c r="O5" i="28"/>
  <c r="M5" i="28"/>
  <c r="Q5" i="28" s="1"/>
  <c r="L5" i="28"/>
  <c r="G5" i="28"/>
  <c r="F5" i="28"/>
  <c r="D5" i="28"/>
  <c r="C5" i="28"/>
  <c r="T4" i="28"/>
  <c r="Q4" i="28"/>
  <c r="U4" i="28" s="1"/>
  <c r="P4" i="28"/>
  <c r="O4" i="28"/>
  <c r="N4" i="28"/>
  <c r="R4" i="28" s="1"/>
  <c r="G4" i="28"/>
  <c r="F4" i="28"/>
  <c r="D4" i="28"/>
  <c r="C4" i="28"/>
  <c r="T3" i="28"/>
  <c r="Q3" i="28"/>
  <c r="P3" i="28"/>
  <c r="O3" i="28"/>
  <c r="N3" i="28"/>
  <c r="R3" i="28" s="1"/>
  <c r="M3" i="28"/>
  <c r="L3" i="28"/>
  <c r="G3" i="28"/>
  <c r="F3" i="28"/>
  <c r="D3" i="28"/>
  <c r="C3" i="28"/>
  <c r="T2" i="28"/>
  <c r="Q2" i="28"/>
  <c r="P2" i="28"/>
  <c r="O2" i="28"/>
  <c r="N2" i="28"/>
  <c r="R2" i="28" s="1"/>
  <c r="G2" i="28"/>
  <c r="F2" i="28"/>
  <c r="D2" i="28"/>
  <c r="C2" i="28"/>
  <c r="L137" i="1"/>
  <c r="L126" i="1"/>
  <c r="M126" i="1"/>
  <c r="L115" i="1"/>
  <c r="M115" i="1"/>
  <c r="L104" i="1"/>
  <c r="M104" i="1"/>
  <c r="L93" i="1"/>
  <c r="L82" i="1"/>
  <c r="M82" i="1"/>
  <c r="L71" i="1"/>
  <c r="M71" i="1"/>
  <c r="L49" i="1"/>
  <c r="M49" i="1"/>
  <c r="L38" i="1"/>
  <c r="M38" i="1"/>
  <c r="L27" i="1"/>
  <c r="M27" i="1"/>
  <c r="L16" i="1"/>
  <c r="M16" i="1"/>
  <c r="L5" i="1"/>
  <c r="M5" i="1"/>
  <c r="M135" i="1"/>
  <c r="M124" i="1"/>
  <c r="M113" i="1"/>
  <c r="M102" i="1"/>
  <c r="M80" i="1"/>
  <c r="M69" i="1"/>
  <c r="M58" i="1"/>
  <c r="M47" i="1"/>
  <c r="M36" i="1"/>
  <c r="M25" i="1"/>
  <c r="M14" i="1"/>
  <c r="M3" i="1"/>
  <c r="L135" i="1"/>
  <c r="L124" i="1"/>
  <c r="L113" i="1"/>
  <c r="L102" i="1"/>
  <c r="L80" i="1"/>
  <c r="L69" i="1"/>
  <c r="L58" i="1"/>
  <c r="L47" i="1"/>
  <c r="L36" i="1"/>
  <c r="L25" i="1"/>
  <c r="L14" i="1"/>
  <c r="L3" i="1"/>
  <c r="T24" i="1"/>
  <c r="T25" i="1"/>
  <c r="T26" i="1"/>
  <c r="T28" i="1"/>
  <c r="T30" i="1"/>
  <c r="T35" i="1"/>
  <c r="T36" i="1"/>
  <c r="T37" i="1"/>
  <c r="T39" i="1"/>
  <c r="T41" i="1"/>
  <c r="T46" i="1"/>
  <c r="T47" i="1"/>
  <c r="T48" i="1"/>
  <c r="T50" i="1"/>
  <c r="T52" i="1"/>
  <c r="T57" i="1"/>
  <c r="T58" i="1"/>
  <c r="T59" i="1"/>
  <c r="T61" i="1"/>
  <c r="T63" i="1"/>
  <c r="T68" i="1"/>
  <c r="T69" i="1"/>
  <c r="T70" i="1"/>
  <c r="T72" i="1"/>
  <c r="T74" i="1"/>
  <c r="T79" i="1"/>
  <c r="T80" i="1"/>
  <c r="T81" i="1"/>
  <c r="T83" i="1"/>
  <c r="T85" i="1"/>
  <c r="T90" i="1"/>
  <c r="T91" i="1"/>
  <c r="T92" i="1"/>
  <c r="T94" i="1"/>
  <c r="T96" i="1"/>
  <c r="T101" i="1"/>
  <c r="T102" i="1"/>
  <c r="T103" i="1"/>
  <c r="T105" i="1"/>
  <c r="T107" i="1"/>
  <c r="T112" i="1"/>
  <c r="T113" i="1"/>
  <c r="T114" i="1"/>
  <c r="T116" i="1"/>
  <c r="T118" i="1"/>
  <c r="T123" i="1"/>
  <c r="T124" i="1"/>
  <c r="T125" i="1"/>
  <c r="T127" i="1"/>
  <c r="T129" i="1"/>
  <c r="T134" i="1"/>
  <c r="T135" i="1"/>
  <c r="T136" i="1"/>
  <c r="T138" i="1"/>
  <c r="T140" i="1"/>
  <c r="T13" i="1"/>
  <c r="T14" i="1"/>
  <c r="T15" i="1"/>
  <c r="T17" i="1"/>
  <c r="T19" i="1"/>
  <c r="N3" i="1"/>
  <c r="C8" i="1"/>
  <c r="C5" i="1"/>
  <c r="C3" i="1"/>
  <c r="C2" i="1"/>
  <c r="U19" i="28" l="1"/>
  <c r="U47" i="28"/>
  <c r="D20" i="28"/>
  <c r="U58" i="28"/>
  <c r="N28" i="28"/>
  <c r="R28" i="28" s="1"/>
  <c r="U101" i="28"/>
  <c r="N131" i="28"/>
  <c r="R131" i="28" s="1"/>
  <c r="U107" i="28"/>
  <c r="U90" i="28"/>
  <c r="U50" i="28"/>
  <c r="F19" i="28"/>
  <c r="U94" i="28"/>
  <c r="U7" i="28"/>
  <c r="U14" i="28"/>
  <c r="U17" i="28"/>
  <c r="G19" i="28"/>
  <c r="Q64" i="28"/>
  <c r="U52" i="28"/>
  <c r="U57" i="28"/>
  <c r="N83" i="28"/>
  <c r="R83" i="28" s="1"/>
  <c r="U91" i="28"/>
  <c r="T10" i="28"/>
  <c r="O16" i="28"/>
  <c r="U138" i="28"/>
  <c r="U63" i="28"/>
  <c r="N42" i="28"/>
  <c r="R42" i="28" s="1"/>
  <c r="U18" i="28"/>
  <c r="C15" i="28"/>
  <c r="T16" i="28" s="1"/>
  <c r="D23" i="28"/>
  <c r="N32" i="28"/>
  <c r="R32" i="28" s="1"/>
  <c r="U8" i="28"/>
  <c r="U35" i="28"/>
  <c r="U39" i="28"/>
  <c r="T12" i="28"/>
  <c r="G18" i="28"/>
  <c r="F22" i="28"/>
  <c r="B33" i="28"/>
  <c r="B44" i="28" s="1"/>
  <c r="B55" i="28" s="1"/>
  <c r="O23" i="28"/>
  <c r="U62" i="28"/>
  <c r="N128" i="28"/>
  <c r="R128" i="28" s="1"/>
  <c r="T5" i="28"/>
  <c r="D17" i="28"/>
  <c r="U106" i="28"/>
  <c r="G17" i="28"/>
  <c r="U102" i="28"/>
  <c r="K24" i="28"/>
  <c r="O24" i="28" s="1"/>
  <c r="U85" i="28"/>
  <c r="U13" i="28"/>
  <c r="D19" i="28"/>
  <c r="C20" i="28"/>
  <c r="U24" i="28"/>
  <c r="U51" i="28"/>
  <c r="B28" i="28"/>
  <c r="G28" i="28" s="1"/>
  <c r="N54" i="28"/>
  <c r="R54" i="28" s="1"/>
  <c r="U83" i="28"/>
  <c r="O15" i="28"/>
  <c r="O21" i="28"/>
  <c r="Q95" i="28"/>
  <c r="U95" i="28" s="1"/>
  <c r="U3" i="28"/>
  <c r="D18" i="28"/>
  <c r="B26" i="28"/>
  <c r="B37" i="28" s="1"/>
  <c r="U30" i="28"/>
  <c r="U46" i="28"/>
  <c r="N61" i="28"/>
  <c r="R61" i="28" s="1"/>
  <c r="N108" i="28"/>
  <c r="R108" i="28" s="1"/>
  <c r="Q120" i="28"/>
  <c r="Q21" i="28"/>
  <c r="Q76" i="28"/>
  <c r="T11" i="28"/>
  <c r="C17" i="28"/>
  <c r="T18" i="28" s="1"/>
  <c r="F18" i="28"/>
  <c r="U28" i="28"/>
  <c r="U69" i="28"/>
  <c r="U80" i="28"/>
  <c r="U112" i="28"/>
  <c r="N142" i="28"/>
  <c r="R142" i="28" s="1"/>
  <c r="N7" i="28"/>
  <c r="R7" i="28" s="1"/>
  <c r="B25" i="28"/>
  <c r="N62" i="28"/>
  <c r="R62" i="28" s="1"/>
  <c r="Q65" i="28"/>
  <c r="Q72" i="28"/>
  <c r="U72" i="28" s="1"/>
  <c r="U105" i="28"/>
  <c r="U113" i="28"/>
  <c r="C14" i="28"/>
  <c r="U36" i="28"/>
  <c r="N109" i="28"/>
  <c r="R109" i="28" s="1"/>
  <c r="N117" i="28"/>
  <c r="R117" i="28" s="1"/>
  <c r="D14" i="28"/>
  <c r="N73" i="28"/>
  <c r="R73" i="28" s="1"/>
  <c r="N98" i="28"/>
  <c r="R98" i="28" s="1"/>
  <c r="T9" i="28"/>
  <c r="Q31" i="28"/>
  <c r="B34" i="28"/>
  <c r="B45" i="28" s="1"/>
  <c r="D45" i="28" s="1"/>
  <c r="D13" i="28"/>
  <c r="F14" i="28"/>
  <c r="Q40" i="28"/>
  <c r="U40" i="28" s="1"/>
  <c r="N127" i="28"/>
  <c r="R127" i="28" s="1"/>
  <c r="Q139" i="28"/>
  <c r="U139" i="28" s="1"/>
  <c r="B30" i="28"/>
  <c r="B41" i="28" s="1"/>
  <c r="U127" i="28"/>
  <c r="N6" i="28"/>
  <c r="R6" i="28" s="1"/>
  <c r="F13" i="28"/>
  <c r="N17" i="28"/>
  <c r="R17" i="28" s="1"/>
  <c r="K25" i="28"/>
  <c r="O25" i="28" s="1"/>
  <c r="G13" i="28"/>
  <c r="U25" i="28"/>
  <c r="P49" i="28"/>
  <c r="N49" i="28"/>
  <c r="R49" i="28" s="1"/>
  <c r="O34" i="28"/>
  <c r="K45" i="28"/>
  <c r="Q60" i="28"/>
  <c r="N60" i="28"/>
  <c r="R60" i="28" s="1"/>
  <c r="Q79" i="28"/>
  <c r="U79" i="28" s="1"/>
  <c r="N79" i="28"/>
  <c r="R79" i="28" s="1"/>
  <c r="O27" i="28"/>
  <c r="K38" i="28"/>
  <c r="K28" i="28"/>
  <c r="O17" i="28"/>
  <c r="U6" i="28"/>
  <c r="G21" i="28"/>
  <c r="F21" i="28"/>
  <c r="D21" i="28"/>
  <c r="C21" i="28"/>
  <c r="U117" i="28"/>
  <c r="P5" i="28"/>
  <c r="N5" i="28"/>
  <c r="R5" i="28" s="1"/>
  <c r="Q29" i="28"/>
  <c r="U29" i="28" s="1"/>
  <c r="N29" i="28"/>
  <c r="R29" i="28" s="1"/>
  <c r="O26" i="28"/>
  <c r="K37" i="28"/>
  <c r="Q16" i="28"/>
  <c r="O32" i="28"/>
  <c r="K43" i="28"/>
  <c r="Q10" i="28"/>
  <c r="U2" i="28"/>
  <c r="B32" i="28"/>
  <c r="Q84" i="28"/>
  <c r="U84" i="28" s="1"/>
  <c r="N84" i="28"/>
  <c r="R84" i="28" s="1"/>
  <c r="D31" i="28"/>
  <c r="C31" i="28"/>
  <c r="B42" i="28"/>
  <c r="F31" i="28"/>
  <c r="Q53" i="28"/>
  <c r="N53" i="28"/>
  <c r="R53" i="28" s="1"/>
  <c r="Q140" i="28"/>
  <c r="U140" i="28" s="1"/>
  <c r="N140" i="28"/>
  <c r="R140" i="28" s="1"/>
  <c r="Q9" i="28"/>
  <c r="N9" i="28"/>
  <c r="R9" i="28" s="1"/>
  <c r="U41" i="28"/>
  <c r="Q75" i="28"/>
  <c r="N75" i="28"/>
  <c r="R75" i="28" s="1"/>
  <c r="K33" i="28"/>
  <c r="O22" i="28"/>
  <c r="B27" i="28"/>
  <c r="K29" i="28"/>
  <c r="P93" i="28"/>
  <c r="N93" i="28"/>
  <c r="R93" i="28" s="1"/>
  <c r="Q123" i="28"/>
  <c r="U123" i="28" s="1"/>
  <c r="N123" i="28"/>
  <c r="R123" i="28" s="1"/>
  <c r="U135" i="28"/>
  <c r="U61" i="28"/>
  <c r="D15" i="28"/>
  <c r="F20" i="28"/>
  <c r="N69" i="28"/>
  <c r="R69" i="28" s="1"/>
  <c r="N97" i="28"/>
  <c r="R97" i="28" s="1"/>
  <c r="C16" i="28"/>
  <c r="G20" i="28"/>
  <c r="N30" i="28"/>
  <c r="R30" i="28" s="1"/>
  <c r="K31" i="28"/>
  <c r="N74" i="28"/>
  <c r="R74" i="28" s="1"/>
  <c r="N13" i="28"/>
  <c r="R13" i="28" s="1"/>
  <c r="F15" i="28"/>
  <c r="D16" i="28"/>
  <c r="N18" i="28"/>
  <c r="R18" i="28" s="1"/>
  <c r="N43" i="28"/>
  <c r="R43" i="28" s="1"/>
  <c r="U74" i="28"/>
  <c r="N104" i="28"/>
  <c r="R104" i="28" s="1"/>
  <c r="U118" i="28"/>
  <c r="Q141" i="28"/>
  <c r="N141" i="28"/>
  <c r="R141" i="28" s="1"/>
  <c r="C22" i="28"/>
  <c r="N25" i="28"/>
  <c r="R25" i="28" s="1"/>
  <c r="B29" i="28"/>
  <c r="U68" i="28"/>
  <c r="U128" i="28"/>
  <c r="F16" i="28"/>
  <c r="D22" i="28"/>
  <c r="C23" i="28"/>
  <c r="B24" i="28"/>
  <c r="N50" i="28"/>
  <c r="R50" i="28" s="1"/>
  <c r="P82" i="28"/>
  <c r="N82" i="28"/>
  <c r="R82" i="28" s="1"/>
  <c r="Q116" i="28"/>
  <c r="U116" i="28" s="1"/>
  <c r="N116" i="28"/>
  <c r="R116" i="28" s="1"/>
  <c r="U124" i="28"/>
  <c r="U73" i="28"/>
  <c r="Q86" i="28"/>
  <c r="N86" i="28"/>
  <c r="R86" i="28" s="1"/>
  <c r="Q129" i="28"/>
  <c r="U129" i="28" s="1"/>
  <c r="N129" i="28"/>
  <c r="R129" i="28" s="1"/>
  <c r="N20" i="28"/>
  <c r="R20" i="28" s="1"/>
  <c r="F23" i="28"/>
  <c r="N39" i="28"/>
  <c r="R39" i="28" s="1"/>
  <c r="R46" i="28"/>
  <c r="N51" i="28"/>
  <c r="R51" i="28" s="1"/>
  <c r="N27" i="28"/>
  <c r="R27" i="28" s="1"/>
  <c r="N80" i="28"/>
  <c r="R80" i="28" s="1"/>
  <c r="N96" i="28"/>
  <c r="R96" i="28" s="1"/>
  <c r="U134" i="28"/>
  <c r="U96" i="28"/>
  <c r="N135" i="28"/>
  <c r="R135" i="28" s="1"/>
  <c r="N105" i="28"/>
  <c r="R105" i="28" s="1"/>
  <c r="N112" i="28"/>
  <c r="R112" i="28" s="1"/>
  <c r="N124" i="28"/>
  <c r="R124" i="28" s="1"/>
  <c r="N130" i="28"/>
  <c r="R130" i="28" s="1"/>
  <c r="N137" i="28"/>
  <c r="R137" i="28" s="1"/>
  <c r="N118" i="28"/>
  <c r="R118" i="28" s="1"/>
  <c r="N87" i="28"/>
  <c r="R87" i="28" s="1"/>
  <c r="N106" i="28"/>
  <c r="R106" i="28" s="1"/>
  <c r="N94" i="28"/>
  <c r="R94" i="28" s="1"/>
  <c r="N101" i="28"/>
  <c r="R101" i="28" s="1"/>
  <c r="N113" i="28"/>
  <c r="R113" i="28" s="1"/>
  <c r="N119" i="28"/>
  <c r="R119" i="28" s="1"/>
  <c r="N138" i="28"/>
  <c r="R138" i="28" s="1"/>
  <c r="N126" i="28"/>
  <c r="R126" i="28" s="1"/>
  <c r="M138" i="1"/>
  <c r="Q138" i="1" s="1"/>
  <c r="M127" i="1"/>
  <c r="Q127" i="1" s="1"/>
  <c r="M116" i="1"/>
  <c r="Q116" i="1" s="1"/>
  <c r="M105" i="1"/>
  <c r="Q105" i="1" s="1"/>
  <c r="M61" i="1"/>
  <c r="Q61" i="1" s="1"/>
  <c r="N46" i="1"/>
  <c r="R46" i="1" s="1"/>
  <c r="M39" i="1"/>
  <c r="Q39" i="1" s="1"/>
  <c r="M28" i="1"/>
  <c r="Q28" i="1" s="1"/>
  <c r="M17" i="1"/>
  <c r="N17" i="1" s="1"/>
  <c r="R17" i="1" s="1"/>
  <c r="Q14" i="1"/>
  <c r="M140" i="1"/>
  <c r="M129" i="1"/>
  <c r="M118" i="1"/>
  <c r="M107" i="1"/>
  <c r="M96" i="1"/>
  <c r="M85" i="1"/>
  <c r="M74" i="1"/>
  <c r="M63" i="1"/>
  <c r="M52" i="1"/>
  <c r="M41" i="1"/>
  <c r="M30" i="1"/>
  <c r="M19" i="1"/>
  <c r="M8" i="1"/>
  <c r="N8" i="1" s="1"/>
  <c r="R8" i="1" s="1"/>
  <c r="M6" i="1"/>
  <c r="Q6" i="1" s="1"/>
  <c r="M94" i="1"/>
  <c r="Q94" i="1" s="1"/>
  <c r="Q90" i="1"/>
  <c r="U16" i="1"/>
  <c r="U20" i="1"/>
  <c r="U21" i="1"/>
  <c r="U22" i="1"/>
  <c r="U23" i="1"/>
  <c r="U27" i="1"/>
  <c r="U31" i="1"/>
  <c r="U32" i="1"/>
  <c r="U33" i="1"/>
  <c r="U34" i="1"/>
  <c r="U38" i="1"/>
  <c r="U42" i="1"/>
  <c r="U43" i="1"/>
  <c r="U44" i="1"/>
  <c r="U45" i="1"/>
  <c r="U49" i="1"/>
  <c r="U53" i="1"/>
  <c r="U54" i="1"/>
  <c r="U55" i="1"/>
  <c r="U56" i="1"/>
  <c r="U60" i="1"/>
  <c r="U64" i="1"/>
  <c r="U65" i="1"/>
  <c r="U66" i="1"/>
  <c r="U67" i="1"/>
  <c r="U71" i="1"/>
  <c r="U75" i="1"/>
  <c r="U76" i="1"/>
  <c r="U77" i="1"/>
  <c r="U78" i="1"/>
  <c r="U82" i="1"/>
  <c r="U86" i="1"/>
  <c r="U87" i="1"/>
  <c r="U88" i="1"/>
  <c r="U89" i="1"/>
  <c r="U93" i="1"/>
  <c r="U97" i="1"/>
  <c r="U98" i="1"/>
  <c r="U99" i="1"/>
  <c r="U100" i="1"/>
  <c r="U104" i="1"/>
  <c r="U108" i="1"/>
  <c r="U109" i="1"/>
  <c r="U110" i="1"/>
  <c r="U111" i="1"/>
  <c r="U115" i="1"/>
  <c r="U119" i="1"/>
  <c r="U120" i="1"/>
  <c r="U121" i="1"/>
  <c r="U122" i="1"/>
  <c r="U126" i="1"/>
  <c r="U130" i="1"/>
  <c r="U131" i="1"/>
  <c r="U132" i="1"/>
  <c r="U133" i="1"/>
  <c r="U137" i="1"/>
  <c r="U141" i="1"/>
  <c r="U142" i="1"/>
  <c r="U143" i="1"/>
  <c r="U144" i="1"/>
  <c r="N134" i="1"/>
  <c r="R134" i="1" s="1"/>
  <c r="N123" i="1"/>
  <c r="R123" i="1" s="1"/>
  <c r="N112" i="1"/>
  <c r="R112" i="1" s="1"/>
  <c r="N101" i="1"/>
  <c r="R101" i="1" s="1"/>
  <c r="N90" i="1"/>
  <c r="R90" i="1" s="1"/>
  <c r="N79" i="1"/>
  <c r="R79" i="1" s="1"/>
  <c r="N70" i="1"/>
  <c r="R70" i="1" s="1"/>
  <c r="N59" i="1"/>
  <c r="R59" i="1" s="1"/>
  <c r="N48" i="1"/>
  <c r="R48" i="1" s="1"/>
  <c r="N35" i="1"/>
  <c r="R35" i="1" s="1"/>
  <c r="N24" i="1"/>
  <c r="R24" i="1" s="1"/>
  <c r="N15" i="1"/>
  <c r="R15" i="1" s="1"/>
  <c r="N16" i="1"/>
  <c r="R16" i="1" s="1"/>
  <c r="N19" i="1"/>
  <c r="R19" i="1" s="1"/>
  <c r="N13" i="1"/>
  <c r="R13" i="1" s="1"/>
  <c r="N135" i="1"/>
  <c r="R135" i="1" s="1"/>
  <c r="N124" i="1"/>
  <c r="R124" i="1" s="1"/>
  <c r="N113" i="1"/>
  <c r="R113" i="1" s="1"/>
  <c r="N102" i="1"/>
  <c r="R102" i="1" s="1"/>
  <c r="N91" i="1"/>
  <c r="R91" i="1" s="1"/>
  <c r="N80" i="1"/>
  <c r="R80" i="1" s="1"/>
  <c r="N69" i="1"/>
  <c r="R69" i="1" s="1"/>
  <c r="N58" i="1"/>
  <c r="R58" i="1" s="1"/>
  <c r="N47" i="1"/>
  <c r="R47" i="1" s="1"/>
  <c r="N36" i="1"/>
  <c r="R36" i="1" s="1"/>
  <c r="N25" i="1"/>
  <c r="R25" i="1" s="1"/>
  <c r="Q135" i="1"/>
  <c r="P135" i="1"/>
  <c r="Q124" i="1"/>
  <c r="P124" i="1"/>
  <c r="Q113" i="1"/>
  <c r="P113" i="1"/>
  <c r="Q102" i="1"/>
  <c r="P102" i="1"/>
  <c r="Q91" i="1"/>
  <c r="P91" i="1"/>
  <c r="Q80" i="1"/>
  <c r="P80" i="1"/>
  <c r="Q69" i="1"/>
  <c r="P69" i="1"/>
  <c r="Q58" i="1"/>
  <c r="P58" i="1"/>
  <c r="Q47" i="1"/>
  <c r="P47" i="1"/>
  <c r="Q36" i="1"/>
  <c r="P36" i="1"/>
  <c r="Q25" i="1"/>
  <c r="P25" i="1"/>
  <c r="P14" i="1"/>
  <c r="P3" i="1"/>
  <c r="M83" i="1"/>
  <c r="Q83" i="1" s="1"/>
  <c r="M72" i="1"/>
  <c r="Q72" i="1" s="1"/>
  <c r="M50" i="1"/>
  <c r="Q50" i="1" s="1"/>
  <c r="M7" i="1"/>
  <c r="N7" i="1" s="1"/>
  <c r="R7" i="1" s="1"/>
  <c r="M142" i="1"/>
  <c r="N142" i="1" s="1"/>
  <c r="R142" i="1" s="1"/>
  <c r="M141" i="1"/>
  <c r="N141" i="1" s="1"/>
  <c r="R141" i="1" s="1"/>
  <c r="M139" i="1"/>
  <c r="N139" i="1" s="1"/>
  <c r="R139" i="1" s="1"/>
  <c r="M131" i="1"/>
  <c r="N131" i="1" s="1"/>
  <c r="R131" i="1" s="1"/>
  <c r="M130" i="1"/>
  <c r="N130" i="1" s="1"/>
  <c r="R130" i="1" s="1"/>
  <c r="M128" i="1"/>
  <c r="M120" i="1"/>
  <c r="N120" i="1" s="1"/>
  <c r="R120" i="1" s="1"/>
  <c r="M119" i="1"/>
  <c r="N119" i="1" s="1"/>
  <c r="R119" i="1" s="1"/>
  <c r="M117" i="1"/>
  <c r="Q117" i="1" s="1"/>
  <c r="M109" i="1"/>
  <c r="N109" i="1" s="1"/>
  <c r="R109" i="1" s="1"/>
  <c r="M108" i="1"/>
  <c r="N108" i="1" s="1"/>
  <c r="R108" i="1" s="1"/>
  <c r="M106" i="1"/>
  <c r="N106" i="1" s="1"/>
  <c r="R106" i="1" s="1"/>
  <c r="M98" i="1"/>
  <c r="N98" i="1" s="1"/>
  <c r="R98" i="1" s="1"/>
  <c r="M97" i="1"/>
  <c r="N97" i="1" s="1"/>
  <c r="R97" i="1" s="1"/>
  <c r="M95" i="1"/>
  <c r="Q95" i="1" s="1"/>
  <c r="M87" i="1"/>
  <c r="N87" i="1" s="1"/>
  <c r="R87" i="1" s="1"/>
  <c r="M86" i="1"/>
  <c r="N86" i="1" s="1"/>
  <c r="R86" i="1" s="1"/>
  <c r="M84" i="1"/>
  <c r="N84" i="1" s="1"/>
  <c r="R84" i="1" s="1"/>
  <c r="M76" i="1"/>
  <c r="N76" i="1" s="1"/>
  <c r="R76" i="1" s="1"/>
  <c r="M75" i="1"/>
  <c r="N75" i="1" s="1"/>
  <c r="R75" i="1" s="1"/>
  <c r="M73" i="1"/>
  <c r="N73" i="1" s="1"/>
  <c r="R73" i="1" s="1"/>
  <c r="M65" i="1"/>
  <c r="N65" i="1" s="1"/>
  <c r="R65" i="1" s="1"/>
  <c r="M64" i="1"/>
  <c r="N64" i="1" s="1"/>
  <c r="R64" i="1" s="1"/>
  <c r="M62" i="1"/>
  <c r="N62" i="1" s="1"/>
  <c r="R62" i="1" s="1"/>
  <c r="M54" i="1"/>
  <c r="N54" i="1" s="1"/>
  <c r="R54" i="1" s="1"/>
  <c r="M53" i="1"/>
  <c r="N53" i="1" s="1"/>
  <c r="R53" i="1" s="1"/>
  <c r="M51" i="1"/>
  <c r="Q51" i="1" s="1"/>
  <c r="M43" i="1"/>
  <c r="N43" i="1" s="1"/>
  <c r="R43" i="1" s="1"/>
  <c r="M42" i="1"/>
  <c r="N42" i="1" s="1"/>
  <c r="R42" i="1" s="1"/>
  <c r="M40" i="1"/>
  <c r="Q40" i="1" s="1"/>
  <c r="M32" i="1"/>
  <c r="N32" i="1" s="1"/>
  <c r="R32" i="1" s="1"/>
  <c r="M31" i="1"/>
  <c r="N31" i="1" s="1"/>
  <c r="R31" i="1" s="1"/>
  <c r="M29" i="1"/>
  <c r="N29" i="1" s="1"/>
  <c r="R29" i="1" s="1"/>
  <c r="M21" i="1"/>
  <c r="N21" i="1" s="1"/>
  <c r="M20" i="1"/>
  <c r="Q20" i="1" s="1"/>
  <c r="M18" i="1"/>
  <c r="N18" i="1" s="1"/>
  <c r="M10" i="1"/>
  <c r="N10" i="1" s="1"/>
  <c r="M9" i="1"/>
  <c r="N9" i="1" s="1"/>
  <c r="N137" i="1"/>
  <c r="R137" i="1" s="1"/>
  <c r="N126" i="1"/>
  <c r="R126" i="1" s="1"/>
  <c r="N115" i="1"/>
  <c r="R115" i="1" s="1"/>
  <c r="N104" i="1"/>
  <c r="R104" i="1" s="1"/>
  <c r="N93" i="1"/>
  <c r="R93" i="1" s="1"/>
  <c r="N82" i="1"/>
  <c r="R82" i="1" s="1"/>
  <c r="N71" i="1"/>
  <c r="R71" i="1" s="1"/>
  <c r="N60" i="1"/>
  <c r="R60" i="1" s="1"/>
  <c r="N49" i="1"/>
  <c r="R49" i="1" s="1"/>
  <c r="N38" i="1"/>
  <c r="R38" i="1" s="1"/>
  <c r="N27" i="1"/>
  <c r="R27" i="1" s="1"/>
  <c r="P16" i="1"/>
  <c r="N4" i="1"/>
  <c r="R4" i="1" s="1"/>
  <c r="R3" i="1"/>
  <c r="E14" i="1"/>
  <c r="E25" i="1" s="1"/>
  <c r="E36" i="1" s="1"/>
  <c r="E47" i="1" s="1"/>
  <c r="E58" i="1" s="1"/>
  <c r="E69" i="1" s="1"/>
  <c r="E80" i="1" s="1"/>
  <c r="E91" i="1" s="1"/>
  <c r="E102" i="1" s="1"/>
  <c r="E113" i="1" s="1"/>
  <c r="E124" i="1" s="1"/>
  <c r="E135" i="1" s="1"/>
  <c r="E15" i="1"/>
  <c r="E26" i="1" s="1"/>
  <c r="E37" i="1" s="1"/>
  <c r="E48" i="1" s="1"/>
  <c r="E59" i="1" s="1"/>
  <c r="E70" i="1" s="1"/>
  <c r="E81" i="1" s="1"/>
  <c r="E92" i="1" s="1"/>
  <c r="E103" i="1" s="1"/>
  <c r="E114" i="1" s="1"/>
  <c r="E125" i="1" s="1"/>
  <c r="E136" i="1" s="1"/>
  <c r="E16" i="1"/>
  <c r="E27" i="1" s="1"/>
  <c r="E38" i="1" s="1"/>
  <c r="E49" i="1" s="1"/>
  <c r="E60" i="1" s="1"/>
  <c r="E71" i="1" s="1"/>
  <c r="E82" i="1" s="1"/>
  <c r="E93" i="1" s="1"/>
  <c r="E104" i="1" s="1"/>
  <c r="E115" i="1" s="1"/>
  <c r="E126" i="1" s="1"/>
  <c r="E137" i="1" s="1"/>
  <c r="E17" i="1"/>
  <c r="E28" i="1" s="1"/>
  <c r="E39" i="1" s="1"/>
  <c r="E50" i="1" s="1"/>
  <c r="E61" i="1" s="1"/>
  <c r="E72" i="1" s="1"/>
  <c r="E83" i="1" s="1"/>
  <c r="E94" i="1" s="1"/>
  <c r="E105" i="1" s="1"/>
  <c r="E116" i="1" s="1"/>
  <c r="E127" i="1" s="1"/>
  <c r="E138" i="1" s="1"/>
  <c r="E18" i="1"/>
  <c r="E29" i="1" s="1"/>
  <c r="E40" i="1" s="1"/>
  <c r="E51" i="1" s="1"/>
  <c r="E62" i="1" s="1"/>
  <c r="E73" i="1" s="1"/>
  <c r="E84" i="1" s="1"/>
  <c r="E95" i="1" s="1"/>
  <c r="E106" i="1" s="1"/>
  <c r="E117" i="1" s="1"/>
  <c r="E128" i="1" s="1"/>
  <c r="E139" i="1" s="1"/>
  <c r="E19" i="1"/>
  <c r="E30" i="1" s="1"/>
  <c r="E41" i="1" s="1"/>
  <c r="E52" i="1" s="1"/>
  <c r="E63" i="1" s="1"/>
  <c r="E74" i="1" s="1"/>
  <c r="E85" i="1" s="1"/>
  <c r="E96" i="1" s="1"/>
  <c r="E107" i="1" s="1"/>
  <c r="E118" i="1" s="1"/>
  <c r="E129" i="1" s="1"/>
  <c r="E140" i="1" s="1"/>
  <c r="E20" i="1"/>
  <c r="E31" i="1" s="1"/>
  <c r="E42" i="1" s="1"/>
  <c r="E53" i="1" s="1"/>
  <c r="E64" i="1" s="1"/>
  <c r="E75" i="1" s="1"/>
  <c r="E86" i="1" s="1"/>
  <c r="E97" i="1" s="1"/>
  <c r="E108" i="1" s="1"/>
  <c r="E119" i="1" s="1"/>
  <c r="E130" i="1" s="1"/>
  <c r="E141" i="1" s="1"/>
  <c r="E21" i="1"/>
  <c r="E32" i="1" s="1"/>
  <c r="E43" i="1" s="1"/>
  <c r="E54" i="1" s="1"/>
  <c r="E65" i="1" s="1"/>
  <c r="E76" i="1" s="1"/>
  <c r="E87" i="1" s="1"/>
  <c r="E98" i="1" s="1"/>
  <c r="E109" i="1" s="1"/>
  <c r="E120" i="1" s="1"/>
  <c r="E131" i="1" s="1"/>
  <c r="E142" i="1" s="1"/>
  <c r="E22" i="1"/>
  <c r="E33" i="1" s="1"/>
  <c r="E44" i="1" s="1"/>
  <c r="E55" i="1" s="1"/>
  <c r="E66" i="1" s="1"/>
  <c r="E77" i="1" s="1"/>
  <c r="E88" i="1" s="1"/>
  <c r="E99" i="1" s="1"/>
  <c r="E110" i="1" s="1"/>
  <c r="E121" i="1" s="1"/>
  <c r="E132" i="1" s="1"/>
  <c r="E143" i="1" s="1"/>
  <c r="E23" i="1"/>
  <c r="E34" i="1" s="1"/>
  <c r="E45" i="1" s="1"/>
  <c r="E56" i="1" s="1"/>
  <c r="E67" i="1" s="1"/>
  <c r="E78" i="1" s="1"/>
  <c r="E89" i="1" s="1"/>
  <c r="E100" i="1" s="1"/>
  <c r="E111" i="1" s="1"/>
  <c r="E122" i="1" s="1"/>
  <c r="E133" i="1" s="1"/>
  <c r="E144" i="1" s="1"/>
  <c r="E13" i="1"/>
  <c r="E24" i="1" s="1"/>
  <c r="E35" i="1" s="1"/>
  <c r="E46" i="1" s="1"/>
  <c r="E57" i="1" s="1"/>
  <c r="E68" i="1" s="1"/>
  <c r="E79" i="1" s="1"/>
  <c r="E90" i="1" s="1"/>
  <c r="E101" i="1" s="1"/>
  <c r="E112" i="1" s="1"/>
  <c r="E123" i="1" s="1"/>
  <c r="E134" i="1" s="1"/>
  <c r="S14" i="1"/>
  <c r="S25" i="1" s="1"/>
  <c r="S36" i="1" s="1"/>
  <c r="S47" i="1" s="1"/>
  <c r="S58" i="1" s="1"/>
  <c r="S69" i="1" s="1"/>
  <c r="S80" i="1" s="1"/>
  <c r="S91" i="1" s="1"/>
  <c r="S102" i="1" s="1"/>
  <c r="S15" i="1"/>
  <c r="S26" i="1" s="1"/>
  <c r="S37" i="1" s="1"/>
  <c r="S48" i="1" s="1"/>
  <c r="S59" i="1" s="1"/>
  <c r="S70" i="1" s="1"/>
  <c r="S81" i="1" s="1"/>
  <c r="S92" i="1" s="1"/>
  <c r="S103" i="1" s="1"/>
  <c r="S114" i="1" s="1"/>
  <c r="S125" i="1" s="1"/>
  <c r="S136" i="1" s="1"/>
  <c r="S16" i="1"/>
  <c r="S27" i="1" s="1"/>
  <c r="S38" i="1" s="1"/>
  <c r="S49" i="1" s="1"/>
  <c r="S60" i="1" s="1"/>
  <c r="S71" i="1" s="1"/>
  <c r="S82" i="1" s="1"/>
  <c r="S93" i="1" s="1"/>
  <c r="S104" i="1" s="1"/>
  <c r="S115" i="1" s="1"/>
  <c r="S126" i="1" s="1"/>
  <c r="S137" i="1" s="1"/>
  <c r="S17" i="1"/>
  <c r="S28" i="1" s="1"/>
  <c r="S39" i="1" s="1"/>
  <c r="S50" i="1" s="1"/>
  <c r="S61" i="1" s="1"/>
  <c r="S72" i="1" s="1"/>
  <c r="S83" i="1" s="1"/>
  <c r="S94" i="1" s="1"/>
  <c r="S105" i="1" s="1"/>
  <c r="S116" i="1" s="1"/>
  <c r="S127" i="1" s="1"/>
  <c r="S138" i="1" s="1"/>
  <c r="S18" i="1"/>
  <c r="S29" i="1" s="1"/>
  <c r="S40" i="1" s="1"/>
  <c r="S51" i="1" s="1"/>
  <c r="S62" i="1" s="1"/>
  <c r="S73" i="1" s="1"/>
  <c r="S84" i="1" s="1"/>
  <c r="S95" i="1" s="1"/>
  <c r="S106" i="1" s="1"/>
  <c r="S117" i="1" s="1"/>
  <c r="S128" i="1" s="1"/>
  <c r="S139" i="1" s="1"/>
  <c r="S19" i="1"/>
  <c r="S30" i="1" s="1"/>
  <c r="S41" i="1" s="1"/>
  <c r="S52" i="1" s="1"/>
  <c r="S63" i="1" s="1"/>
  <c r="S74" i="1" s="1"/>
  <c r="S85" i="1" s="1"/>
  <c r="S96" i="1" s="1"/>
  <c r="S107" i="1" s="1"/>
  <c r="S118" i="1" s="1"/>
  <c r="S129" i="1" s="1"/>
  <c r="S140" i="1" s="1"/>
  <c r="S20" i="1"/>
  <c r="S31" i="1" s="1"/>
  <c r="S42" i="1" s="1"/>
  <c r="S53" i="1" s="1"/>
  <c r="S64" i="1" s="1"/>
  <c r="S75" i="1" s="1"/>
  <c r="S86" i="1" s="1"/>
  <c r="S97" i="1" s="1"/>
  <c r="S108" i="1" s="1"/>
  <c r="S119" i="1" s="1"/>
  <c r="S130" i="1" s="1"/>
  <c r="S141" i="1" s="1"/>
  <c r="S21" i="1"/>
  <c r="S32" i="1" s="1"/>
  <c r="S43" i="1" s="1"/>
  <c r="S54" i="1" s="1"/>
  <c r="S65" i="1" s="1"/>
  <c r="S76" i="1" s="1"/>
  <c r="S87" i="1" s="1"/>
  <c r="S98" i="1" s="1"/>
  <c r="S109" i="1" s="1"/>
  <c r="S120" i="1" s="1"/>
  <c r="S131" i="1" s="1"/>
  <c r="S142" i="1" s="1"/>
  <c r="S22" i="1"/>
  <c r="S33" i="1" s="1"/>
  <c r="S44" i="1" s="1"/>
  <c r="S55" i="1" s="1"/>
  <c r="S66" i="1" s="1"/>
  <c r="S77" i="1" s="1"/>
  <c r="S88" i="1" s="1"/>
  <c r="S99" i="1" s="1"/>
  <c r="S110" i="1" s="1"/>
  <c r="S121" i="1" s="1"/>
  <c r="S132" i="1" s="1"/>
  <c r="S143" i="1" s="1"/>
  <c r="S23" i="1"/>
  <c r="S34" i="1" s="1"/>
  <c r="S45" i="1" s="1"/>
  <c r="S56" i="1" s="1"/>
  <c r="S67" i="1" s="1"/>
  <c r="S78" i="1" s="1"/>
  <c r="S89" i="1" s="1"/>
  <c r="S100" i="1" s="1"/>
  <c r="S111" i="1" s="1"/>
  <c r="S122" i="1" s="1"/>
  <c r="S133" i="1" s="1"/>
  <c r="S144" i="1" s="1"/>
  <c r="S13" i="1"/>
  <c r="S24" i="1" s="1"/>
  <c r="S35" i="1" s="1"/>
  <c r="S46" i="1" s="1"/>
  <c r="S57" i="1" s="1"/>
  <c r="S68" i="1" s="1"/>
  <c r="S79" i="1" s="1"/>
  <c r="S90" i="1" s="1"/>
  <c r="S101" i="1" s="1"/>
  <c r="S112" i="1" s="1"/>
  <c r="S123" i="1" s="1"/>
  <c r="S134" i="1" s="1"/>
  <c r="P65" i="1"/>
  <c r="P66" i="1"/>
  <c r="Q66" i="1"/>
  <c r="R66" i="1"/>
  <c r="P67" i="1"/>
  <c r="Q67" i="1"/>
  <c r="R67" i="1"/>
  <c r="P64" i="1"/>
  <c r="P54" i="1"/>
  <c r="P55" i="1"/>
  <c r="Q55" i="1"/>
  <c r="R55" i="1"/>
  <c r="P56" i="1"/>
  <c r="Q56" i="1"/>
  <c r="R56" i="1"/>
  <c r="P53" i="1"/>
  <c r="P43" i="1"/>
  <c r="P44" i="1"/>
  <c r="Q44" i="1"/>
  <c r="R44" i="1"/>
  <c r="P45" i="1"/>
  <c r="Q45" i="1"/>
  <c r="R45" i="1"/>
  <c r="P42" i="1"/>
  <c r="P40" i="1"/>
  <c r="P39" i="1"/>
  <c r="Q38" i="1"/>
  <c r="P38" i="1"/>
  <c r="R37" i="1"/>
  <c r="Q37" i="1"/>
  <c r="U37" i="1" s="1"/>
  <c r="P37" i="1"/>
  <c r="Q35" i="1"/>
  <c r="P35" i="1"/>
  <c r="R12" i="1"/>
  <c r="Q12" i="1"/>
  <c r="P12" i="1"/>
  <c r="R11" i="1"/>
  <c r="Q11" i="1"/>
  <c r="P11" i="1"/>
  <c r="P10" i="1"/>
  <c r="P32" i="1"/>
  <c r="P33" i="1"/>
  <c r="Q33" i="1"/>
  <c r="R33" i="1"/>
  <c r="P34" i="1"/>
  <c r="Q34" i="1"/>
  <c r="R34" i="1"/>
  <c r="P31" i="1"/>
  <c r="P26" i="1"/>
  <c r="Q26" i="1"/>
  <c r="U26" i="1" s="1"/>
  <c r="R26" i="1"/>
  <c r="P27" i="1"/>
  <c r="Q27" i="1"/>
  <c r="P28" i="1"/>
  <c r="P29" i="1"/>
  <c r="Q24" i="1"/>
  <c r="P24" i="1"/>
  <c r="P20" i="1"/>
  <c r="P21" i="1"/>
  <c r="P22" i="1"/>
  <c r="Q22" i="1"/>
  <c r="R22" i="1"/>
  <c r="P23" i="1"/>
  <c r="P15" i="1"/>
  <c r="Q15" i="1"/>
  <c r="U15" i="1" s="1"/>
  <c r="D4" i="1"/>
  <c r="P136" i="1"/>
  <c r="Q136" i="1"/>
  <c r="U136" i="1" s="1"/>
  <c r="R136" i="1"/>
  <c r="P137" i="1"/>
  <c r="Q137" i="1"/>
  <c r="P138" i="1"/>
  <c r="P139" i="1"/>
  <c r="Q134" i="1"/>
  <c r="P134" i="1"/>
  <c r="P142" i="1"/>
  <c r="P143" i="1"/>
  <c r="Q143" i="1"/>
  <c r="R143" i="1"/>
  <c r="P144" i="1"/>
  <c r="Q144" i="1"/>
  <c r="R144" i="1"/>
  <c r="P141" i="1"/>
  <c r="P125" i="1"/>
  <c r="Q125" i="1"/>
  <c r="U125" i="1" s="1"/>
  <c r="R125" i="1"/>
  <c r="P126" i="1"/>
  <c r="Q126" i="1"/>
  <c r="P127" i="1"/>
  <c r="P128" i="1"/>
  <c r="Q123" i="1"/>
  <c r="P123" i="1"/>
  <c r="P131" i="1"/>
  <c r="P132" i="1"/>
  <c r="Q132" i="1"/>
  <c r="R132" i="1"/>
  <c r="P133" i="1"/>
  <c r="Q133" i="1"/>
  <c r="R133" i="1"/>
  <c r="P130" i="1"/>
  <c r="P117" i="1"/>
  <c r="P116" i="1"/>
  <c r="Q115" i="1"/>
  <c r="P115" i="1"/>
  <c r="R114" i="1"/>
  <c r="Q114" i="1"/>
  <c r="U114" i="1" s="1"/>
  <c r="P114" i="1"/>
  <c r="Q112" i="1"/>
  <c r="P112" i="1"/>
  <c r="P9" i="1"/>
  <c r="P120" i="1"/>
  <c r="P121" i="1"/>
  <c r="Q121" i="1"/>
  <c r="R121" i="1"/>
  <c r="P122" i="1"/>
  <c r="Q122" i="1"/>
  <c r="R122" i="1"/>
  <c r="P119" i="1"/>
  <c r="P106" i="1"/>
  <c r="P105" i="1"/>
  <c r="Q104" i="1"/>
  <c r="P104" i="1"/>
  <c r="R103" i="1"/>
  <c r="Q103" i="1"/>
  <c r="U103" i="1" s="1"/>
  <c r="P103" i="1"/>
  <c r="Q101" i="1"/>
  <c r="P101" i="1"/>
  <c r="P109" i="1"/>
  <c r="P110" i="1"/>
  <c r="Q110" i="1"/>
  <c r="R110" i="1"/>
  <c r="P111" i="1"/>
  <c r="Q111" i="1"/>
  <c r="R111" i="1"/>
  <c r="P108" i="1"/>
  <c r="P95" i="1"/>
  <c r="P94" i="1"/>
  <c r="Q93" i="1"/>
  <c r="P93" i="1"/>
  <c r="R92" i="1"/>
  <c r="Q92" i="1"/>
  <c r="U92" i="1" s="1"/>
  <c r="P92" i="1"/>
  <c r="P90" i="1"/>
  <c r="P98" i="1"/>
  <c r="P99" i="1"/>
  <c r="Q99" i="1"/>
  <c r="R99" i="1"/>
  <c r="P100" i="1"/>
  <c r="Q100" i="1"/>
  <c r="R100" i="1"/>
  <c r="P97" i="1"/>
  <c r="P87" i="1"/>
  <c r="P88" i="1"/>
  <c r="Q88" i="1"/>
  <c r="R88" i="1"/>
  <c r="P89" i="1"/>
  <c r="Q89" i="1"/>
  <c r="R89" i="1"/>
  <c r="P86" i="1"/>
  <c r="P84" i="1"/>
  <c r="P83" i="1"/>
  <c r="Q82" i="1"/>
  <c r="P82" i="1"/>
  <c r="R81" i="1"/>
  <c r="Q81" i="1"/>
  <c r="U81" i="1" s="1"/>
  <c r="P81" i="1"/>
  <c r="Q79" i="1"/>
  <c r="P79" i="1"/>
  <c r="P4" i="1"/>
  <c r="Q4" i="1"/>
  <c r="U4" i="1" s="1"/>
  <c r="P5" i="1"/>
  <c r="P6" i="1"/>
  <c r="P7" i="1"/>
  <c r="P2" i="1"/>
  <c r="P73" i="1"/>
  <c r="P72" i="1"/>
  <c r="Q71" i="1"/>
  <c r="P71" i="1"/>
  <c r="Q70" i="1"/>
  <c r="U70" i="1" s="1"/>
  <c r="P70" i="1"/>
  <c r="R68" i="1"/>
  <c r="Q68" i="1"/>
  <c r="P68" i="1"/>
  <c r="P76" i="1"/>
  <c r="P77" i="1"/>
  <c r="Q77" i="1"/>
  <c r="R77" i="1"/>
  <c r="P78" i="1"/>
  <c r="Q78" i="1"/>
  <c r="R78" i="1"/>
  <c r="P75" i="1"/>
  <c r="P62" i="1"/>
  <c r="P61" i="1"/>
  <c r="P60" i="1"/>
  <c r="P59" i="1"/>
  <c r="P57" i="1"/>
  <c r="P49" i="1"/>
  <c r="P48" i="1"/>
  <c r="P46" i="1"/>
  <c r="P51" i="1"/>
  <c r="P50" i="1"/>
  <c r="H14" i="1"/>
  <c r="H25" i="1" s="1"/>
  <c r="H36" i="1" s="1"/>
  <c r="H47" i="1" s="1"/>
  <c r="H58" i="1" s="1"/>
  <c r="H69" i="1" s="1"/>
  <c r="H80" i="1" s="1"/>
  <c r="H91" i="1" s="1"/>
  <c r="H102" i="1" s="1"/>
  <c r="H113" i="1" s="1"/>
  <c r="H124" i="1" s="1"/>
  <c r="H135" i="1" s="1"/>
  <c r="I14" i="1"/>
  <c r="I25" i="1" s="1"/>
  <c r="I36" i="1" s="1"/>
  <c r="I47" i="1" s="1"/>
  <c r="I58" i="1" s="1"/>
  <c r="I69" i="1" s="1"/>
  <c r="I80" i="1" s="1"/>
  <c r="I91" i="1" s="1"/>
  <c r="I102" i="1" s="1"/>
  <c r="I113" i="1" s="1"/>
  <c r="I124" i="1" s="1"/>
  <c r="I135" i="1" s="1"/>
  <c r="J14" i="1"/>
  <c r="J25" i="1" s="1"/>
  <c r="J36" i="1" s="1"/>
  <c r="J47" i="1" s="1"/>
  <c r="J58" i="1" s="1"/>
  <c r="J69" i="1" s="1"/>
  <c r="J80" i="1" s="1"/>
  <c r="J91" i="1" s="1"/>
  <c r="J102" i="1" s="1"/>
  <c r="J113" i="1" s="1"/>
  <c r="J124" i="1" s="1"/>
  <c r="J135" i="1" s="1"/>
  <c r="K14" i="1"/>
  <c r="O14" i="1" s="1"/>
  <c r="H15" i="1"/>
  <c r="H26" i="1" s="1"/>
  <c r="H37" i="1" s="1"/>
  <c r="H48" i="1" s="1"/>
  <c r="H59" i="1" s="1"/>
  <c r="H70" i="1" s="1"/>
  <c r="H81" i="1" s="1"/>
  <c r="H92" i="1" s="1"/>
  <c r="H103" i="1" s="1"/>
  <c r="H114" i="1" s="1"/>
  <c r="H125" i="1" s="1"/>
  <c r="H136" i="1" s="1"/>
  <c r="I15" i="1"/>
  <c r="I26" i="1" s="1"/>
  <c r="I37" i="1" s="1"/>
  <c r="I48" i="1" s="1"/>
  <c r="I59" i="1" s="1"/>
  <c r="I70" i="1" s="1"/>
  <c r="I81" i="1" s="1"/>
  <c r="I92" i="1" s="1"/>
  <c r="I103" i="1" s="1"/>
  <c r="I114" i="1" s="1"/>
  <c r="I125" i="1" s="1"/>
  <c r="I136" i="1" s="1"/>
  <c r="J15" i="1"/>
  <c r="J26" i="1" s="1"/>
  <c r="J37" i="1" s="1"/>
  <c r="J48" i="1" s="1"/>
  <c r="J59" i="1" s="1"/>
  <c r="J70" i="1" s="1"/>
  <c r="J81" i="1" s="1"/>
  <c r="J92" i="1" s="1"/>
  <c r="J103" i="1" s="1"/>
  <c r="J114" i="1" s="1"/>
  <c r="J125" i="1" s="1"/>
  <c r="J136" i="1" s="1"/>
  <c r="K15" i="1"/>
  <c r="K26" i="1" s="1"/>
  <c r="H16" i="1"/>
  <c r="H27" i="1" s="1"/>
  <c r="H38" i="1" s="1"/>
  <c r="H49" i="1" s="1"/>
  <c r="H60" i="1" s="1"/>
  <c r="H71" i="1" s="1"/>
  <c r="H82" i="1" s="1"/>
  <c r="H93" i="1" s="1"/>
  <c r="H104" i="1" s="1"/>
  <c r="H115" i="1" s="1"/>
  <c r="H126" i="1" s="1"/>
  <c r="H137" i="1" s="1"/>
  <c r="I16" i="1"/>
  <c r="I27" i="1" s="1"/>
  <c r="I38" i="1" s="1"/>
  <c r="I49" i="1" s="1"/>
  <c r="I60" i="1" s="1"/>
  <c r="I71" i="1" s="1"/>
  <c r="I82" i="1" s="1"/>
  <c r="I93" i="1" s="1"/>
  <c r="I104" i="1" s="1"/>
  <c r="I115" i="1" s="1"/>
  <c r="I126" i="1" s="1"/>
  <c r="I137" i="1" s="1"/>
  <c r="J16" i="1"/>
  <c r="J27" i="1" s="1"/>
  <c r="J38" i="1" s="1"/>
  <c r="J49" i="1" s="1"/>
  <c r="J60" i="1" s="1"/>
  <c r="J71" i="1" s="1"/>
  <c r="J82" i="1" s="1"/>
  <c r="J93" i="1" s="1"/>
  <c r="J104" i="1" s="1"/>
  <c r="J115" i="1" s="1"/>
  <c r="J126" i="1" s="1"/>
  <c r="J137" i="1" s="1"/>
  <c r="K16" i="1"/>
  <c r="K27" i="1" s="1"/>
  <c r="H17" i="1"/>
  <c r="H28" i="1" s="1"/>
  <c r="H39" i="1" s="1"/>
  <c r="H50" i="1" s="1"/>
  <c r="H61" i="1" s="1"/>
  <c r="H72" i="1" s="1"/>
  <c r="H83" i="1" s="1"/>
  <c r="H94" i="1" s="1"/>
  <c r="H105" i="1" s="1"/>
  <c r="H116" i="1" s="1"/>
  <c r="H127" i="1" s="1"/>
  <c r="H138" i="1" s="1"/>
  <c r="I17" i="1"/>
  <c r="I28" i="1" s="1"/>
  <c r="I39" i="1" s="1"/>
  <c r="I50" i="1" s="1"/>
  <c r="I61" i="1" s="1"/>
  <c r="I72" i="1" s="1"/>
  <c r="I83" i="1" s="1"/>
  <c r="I94" i="1" s="1"/>
  <c r="I105" i="1" s="1"/>
  <c r="I116" i="1" s="1"/>
  <c r="I127" i="1" s="1"/>
  <c r="I138" i="1" s="1"/>
  <c r="J17" i="1"/>
  <c r="J28" i="1" s="1"/>
  <c r="J39" i="1" s="1"/>
  <c r="J50" i="1" s="1"/>
  <c r="J61" i="1" s="1"/>
  <c r="J72" i="1" s="1"/>
  <c r="J83" i="1" s="1"/>
  <c r="J94" i="1" s="1"/>
  <c r="J105" i="1" s="1"/>
  <c r="J116" i="1" s="1"/>
  <c r="J127" i="1" s="1"/>
  <c r="J138" i="1" s="1"/>
  <c r="K17" i="1"/>
  <c r="O17" i="1" s="1"/>
  <c r="H18" i="1"/>
  <c r="H29" i="1" s="1"/>
  <c r="H40" i="1" s="1"/>
  <c r="H51" i="1" s="1"/>
  <c r="H62" i="1" s="1"/>
  <c r="H73" i="1" s="1"/>
  <c r="H84" i="1" s="1"/>
  <c r="H95" i="1" s="1"/>
  <c r="H106" i="1" s="1"/>
  <c r="H117" i="1" s="1"/>
  <c r="H128" i="1" s="1"/>
  <c r="H139" i="1" s="1"/>
  <c r="I18" i="1"/>
  <c r="I29" i="1" s="1"/>
  <c r="I40" i="1" s="1"/>
  <c r="I51" i="1" s="1"/>
  <c r="I62" i="1" s="1"/>
  <c r="I73" i="1" s="1"/>
  <c r="I84" i="1" s="1"/>
  <c r="I95" i="1" s="1"/>
  <c r="I106" i="1" s="1"/>
  <c r="I117" i="1" s="1"/>
  <c r="I128" i="1" s="1"/>
  <c r="I139" i="1" s="1"/>
  <c r="J18" i="1"/>
  <c r="J29" i="1" s="1"/>
  <c r="J40" i="1" s="1"/>
  <c r="J51" i="1" s="1"/>
  <c r="J62" i="1" s="1"/>
  <c r="J73" i="1" s="1"/>
  <c r="J84" i="1" s="1"/>
  <c r="J95" i="1" s="1"/>
  <c r="J106" i="1" s="1"/>
  <c r="J117" i="1" s="1"/>
  <c r="J128" i="1" s="1"/>
  <c r="J139" i="1" s="1"/>
  <c r="K18" i="1"/>
  <c r="O18" i="1" s="1"/>
  <c r="H19" i="1"/>
  <c r="H30" i="1" s="1"/>
  <c r="H41" i="1" s="1"/>
  <c r="H52" i="1" s="1"/>
  <c r="H63" i="1" s="1"/>
  <c r="H74" i="1" s="1"/>
  <c r="H85" i="1" s="1"/>
  <c r="H96" i="1" s="1"/>
  <c r="H107" i="1" s="1"/>
  <c r="I19" i="1"/>
  <c r="I30" i="1" s="1"/>
  <c r="I41" i="1" s="1"/>
  <c r="I52" i="1" s="1"/>
  <c r="I63" i="1" s="1"/>
  <c r="I74" i="1" s="1"/>
  <c r="I85" i="1" s="1"/>
  <c r="I96" i="1" s="1"/>
  <c r="I107" i="1" s="1"/>
  <c r="I118" i="1" s="1"/>
  <c r="I129" i="1" s="1"/>
  <c r="I140" i="1" s="1"/>
  <c r="J19" i="1"/>
  <c r="J30" i="1" s="1"/>
  <c r="J41" i="1" s="1"/>
  <c r="J52" i="1" s="1"/>
  <c r="J63" i="1" s="1"/>
  <c r="J74" i="1" s="1"/>
  <c r="J85" i="1" s="1"/>
  <c r="J96" i="1" s="1"/>
  <c r="J107" i="1" s="1"/>
  <c r="J118" i="1" s="1"/>
  <c r="J129" i="1" s="1"/>
  <c r="J140" i="1" s="1"/>
  <c r="K19" i="1"/>
  <c r="K30" i="1" s="1"/>
  <c r="K41" i="1" s="1"/>
  <c r="K52" i="1" s="1"/>
  <c r="K63" i="1" s="1"/>
  <c r="K74" i="1" s="1"/>
  <c r="K85" i="1" s="1"/>
  <c r="K96" i="1" s="1"/>
  <c r="K107" i="1" s="1"/>
  <c r="K118" i="1" s="1"/>
  <c r="K129" i="1" s="1"/>
  <c r="K140" i="1" s="1"/>
  <c r="H20" i="1"/>
  <c r="H31" i="1" s="1"/>
  <c r="H42" i="1" s="1"/>
  <c r="H53" i="1" s="1"/>
  <c r="H64" i="1" s="1"/>
  <c r="H75" i="1" s="1"/>
  <c r="H86" i="1" s="1"/>
  <c r="H97" i="1" s="1"/>
  <c r="H108" i="1" s="1"/>
  <c r="H119" i="1" s="1"/>
  <c r="H130" i="1" s="1"/>
  <c r="H141" i="1" s="1"/>
  <c r="I20" i="1"/>
  <c r="I31" i="1" s="1"/>
  <c r="I42" i="1" s="1"/>
  <c r="I53" i="1" s="1"/>
  <c r="I64" i="1" s="1"/>
  <c r="I75" i="1" s="1"/>
  <c r="I86" i="1" s="1"/>
  <c r="I97" i="1" s="1"/>
  <c r="I108" i="1" s="1"/>
  <c r="I119" i="1" s="1"/>
  <c r="I130" i="1" s="1"/>
  <c r="I141" i="1" s="1"/>
  <c r="J20" i="1"/>
  <c r="J31" i="1" s="1"/>
  <c r="J42" i="1" s="1"/>
  <c r="J53" i="1" s="1"/>
  <c r="J64" i="1" s="1"/>
  <c r="J75" i="1" s="1"/>
  <c r="J86" i="1" s="1"/>
  <c r="J97" i="1" s="1"/>
  <c r="J108" i="1" s="1"/>
  <c r="J119" i="1" s="1"/>
  <c r="J130" i="1" s="1"/>
  <c r="J141" i="1" s="1"/>
  <c r="K20" i="1"/>
  <c r="K31" i="1" s="1"/>
  <c r="H21" i="1"/>
  <c r="H32" i="1" s="1"/>
  <c r="H43" i="1" s="1"/>
  <c r="H54" i="1" s="1"/>
  <c r="H65" i="1" s="1"/>
  <c r="H76" i="1" s="1"/>
  <c r="H87" i="1" s="1"/>
  <c r="H98" i="1" s="1"/>
  <c r="H109" i="1" s="1"/>
  <c r="H120" i="1" s="1"/>
  <c r="H131" i="1" s="1"/>
  <c r="H142" i="1" s="1"/>
  <c r="I21" i="1"/>
  <c r="I32" i="1" s="1"/>
  <c r="I43" i="1" s="1"/>
  <c r="I54" i="1" s="1"/>
  <c r="I65" i="1" s="1"/>
  <c r="I76" i="1" s="1"/>
  <c r="I87" i="1" s="1"/>
  <c r="I98" i="1" s="1"/>
  <c r="I109" i="1" s="1"/>
  <c r="I120" i="1" s="1"/>
  <c r="I131" i="1" s="1"/>
  <c r="I142" i="1" s="1"/>
  <c r="J21" i="1"/>
  <c r="J32" i="1" s="1"/>
  <c r="J43" i="1" s="1"/>
  <c r="J54" i="1" s="1"/>
  <c r="J65" i="1" s="1"/>
  <c r="J76" i="1" s="1"/>
  <c r="J87" i="1" s="1"/>
  <c r="J98" i="1" s="1"/>
  <c r="J109" i="1" s="1"/>
  <c r="J120" i="1" s="1"/>
  <c r="J131" i="1" s="1"/>
  <c r="J142" i="1" s="1"/>
  <c r="K21" i="1"/>
  <c r="O21" i="1" s="1"/>
  <c r="H22" i="1"/>
  <c r="H33" i="1" s="1"/>
  <c r="H44" i="1" s="1"/>
  <c r="H55" i="1" s="1"/>
  <c r="H66" i="1" s="1"/>
  <c r="H77" i="1" s="1"/>
  <c r="H88" i="1" s="1"/>
  <c r="H99" i="1" s="1"/>
  <c r="H110" i="1" s="1"/>
  <c r="H121" i="1" s="1"/>
  <c r="H132" i="1" s="1"/>
  <c r="H143" i="1" s="1"/>
  <c r="I22" i="1"/>
  <c r="I33" i="1" s="1"/>
  <c r="I44" i="1" s="1"/>
  <c r="I55" i="1" s="1"/>
  <c r="I66" i="1" s="1"/>
  <c r="I77" i="1" s="1"/>
  <c r="I88" i="1" s="1"/>
  <c r="I99" i="1" s="1"/>
  <c r="I110" i="1" s="1"/>
  <c r="I121" i="1" s="1"/>
  <c r="I132" i="1" s="1"/>
  <c r="I143" i="1" s="1"/>
  <c r="J22" i="1"/>
  <c r="J33" i="1" s="1"/>
  <c r="J44" i="1" s="1"/>
  <c r="J55" i="1" s="1"/>
  <c r="J66" i="1" s="1"/>
  <c r="J77" i="1" s="1"/>
  <c r="J88" i="1" s="1"/>
  <c r="J99" i="1" s="1"/>
  <c r="J110" i="1" s="1"/>
  <c r="J121" i="1" s="1"/>
  <c r="J132" i="1" s="1"/>
  <c r="J143" i="1" s="1"/>
  <c r="K22" i="1"/>
  <c r="O22" i="1" s="1"/>
  <c r="H23" i="1"/>
  <c r="H34" i="1" s="1"/>
  <c r="H45" i="1" s="1"/>
  <c r="H56" i="1" s="1"/>
  <c r="H67" i="1" s="1"/>
  <c r="H78" i="1" s="1"/>
  <c r="H89" i="1" s="1"/>
  <c r="H100" i="1" s="1"/>
  <c r="H111" i="1" s="1"/>
  <c r="H122" i="1" s="1"/>
  <c r="H133" i="1" s="1"/>
  <c r="H144" i="1" s="1"/>
  <c r="I23" i="1"/>
  <c r="I34" i="1" s="1"/>
  <c r="I45" i="1" s="1"/>
  <c r="I56" i="1" s="1"/>
  <c r="I67" i="1" s="1"/>
  <c r="I78" i="1" s="1"/>
  <c r="I89" i="1" s="1"/>
  <c r="I100" i="1" s="1"/>
  <c r="I111" i="1" s="1"/>
  <c r="I122" i="1" s="1"/>
  <c r="I133" i="1" s="1"/>
  <c r="I144" i="1" s="1"/>
  <c r="J23" i="1"/>
  <c r="J34" i="1" s="1"/>
  <c r="J45" i="1" s="1"/>
  <c r="J56" i="1" s="1"/>
  <c r="J67" i="1" s="1"/>
  <c r="J78" i="1" s="1"/>
  <c r="J89" i="1" s="1"/>
  <c r="J100" i="1" s="1"/>
  <c r="J111" i="1" s="1"/>
  <c r="J122" i="1" s="1"/>
  <c r="J133" i="1" s="1"/>
  <c r="J144" i="1" s="1"/>
  <c r="K23" i="1"/>
  <c r="K34" i="1" s="1"/>
  <c r="I13" i="1"/>
  <c r="I24" i="1" s="1"/>
  <c r="I35" i="1" s="1"/>
  <c r="I46" i="1" s="1"/>
  <c r="I57" i="1" s="1"/>
  <c r="I68" i="1" s="1"/>
  <c r="I79" i="1" s="1"/>
  <c r="I90" i="1" s="1"/>
  <c r="I101" i="1" s="1"/>
  <c r="I112" i="1" s="1"/>
  <c r="I123" i="1" s="1"/>
  <c r="I134" i="1" s="1"/>
  <c r="J13" i="1"/>
  <c r="J24" i="1" s="1"/>
  <c r="J35" i="1" s="1"/>
  <c r="J46" i="1" s="1"/>
  <c r="J57" i="1" s="1"/>
  <c r="J68" i="1" s="1"/>
  <c r="J79" i="1" s="1"/>
  <c r="J90" i="1" s="1"/>
  <c r="J101" i="1" s="1"/>
  <c r="J112" i="1" s="1"/>
  <c r="J123" i="1" s="1"/>
  <c r="J134" i="1" s="1"/>
  <c r="K13" i="1"/>
  <c r="K24" i="1" s="1"/>
  <c r="H13" i="1"/>
  <c r="H24" i="1" s="1"/>
  <c r="H35" i="1" s="1"/>
  <c r="H46" i="1" s="1"/>
  <c r="H57" i="1" s="1"/>
  <c r="H68" i="1" s="1"/>
  <c r="H79" i="1" s="1"/>
  <c r="H90" i="1" s="1"/>
  <c r="H101" i="1" s="1"/>
  <c r="H112" i="1" s="1"/>
  <c r="H123" i="1" s="1"/>
  <c r="H134" i="1" s="1"/>
  <c r="Q140" i="1"/>
  <c r="P140" i="1"/>
  <c r="Q129" i="1"/>
  <c r="P129" i="1"/>
  <c r="Q118" i="1"/>
  <c r="P118" i="1"/>
  <c r="Q107" i="1"/>
  <c r="P107" i="1"/>
  <c r="Q96" i="1"/>
  <c r="P96" i="1"/>
  <c r="Q85" i="1"/>
  <c r="P85" i="1"/>
  <c r="Q74" i="1"/>
  <c r="P74" i="1"/>
  <c r="Q63" i="1"/>
  <c r="P63" i="1"/>
  <c r="Q52" i="1"/>
  <c r="P52" i="1"/>
  <c r="Q41" i="1"/>
  <c r="P41" i="1"/>
  <c r="Q30" i="1"/>
  <c r="P30" i="1"/>
  <c r="Q19" i="1"/>
  <c r="P19" i="1"/>
  <c r="N140" i="1"/>
  <c r="R140" i="1" s="1"/>
  <c r="N129" i="1"/>
  <c r="R129" i="1" s="1"/>
  <c r="N118" i="1"/>
  <c r="R118" i="1" s="1"/>
  <c r="N107" i="1"/>
  <c r="R107" i="1" s="1"/>
  <c r="N96" i="1"/>
  <c r="R96" i="1" s="1"/>
  <c r="N85" i="1"/>
  <c r="R85" i="1" s="1"/>
  <c r="N74" i="1"/>
  <c r="R74" i="1" s="1"/>
  <c r="N63" i="1"/>
  <c r="R63" i="1" s="1"/>
  <c r="N52" i="1"/>
  <c r="R52" i="1" s="1"/>
  <c r="N41" i="1"/>
  <c r="R41" i="1" s="1"/>
  <c r="N30" i="1"/>
  <c r="R30" i="1" s="1"/>
  <c r="U12" i="1"/>
  <c r="U11" i="1"/>
  <c r="U10" i="1"/>
  <c r="U9" i="1"/>
  <c r="U5" i="1"/>
  <c r="T3" i="1"/>
  <c r="T4" i="1"/>
  <c r="T6" i="1"/>
  <c r="T8" i="1"/>
  <c r="P18" i="1"/>
  <c r="P17" i="1"/>
  <c r="Q16" i="1"/>
  <c r="P13" i="1"/>
  <c r="Q13" i="1"/>
  <c r="Q5" i="1"/>
  <c r="Q3" i="1"/>
  <c r="Q2" i="1"/>
  <c r="B14" i="1"/>
  <c r="B15" i="1"/>
  <c r="B16" i="1"/>
  <c r="B17" i="1"/>
  <c r="B18" i="1"/>
  <c r="B19" i="1"/>
  <c r="B20" i="1"/>
  <c r="B21" i="1"/>
  <c r="B22" i="1"/>
  <c r="B23" i="1"/>
  <c r="B13" i="1"/>
  <c r="Q23" i="1"/>
  <c r="Q46" i="1"/>
  <c r="Q48" i="1"/>
  <c r="U48" i="1" s="1"/>
  <c r="Q49" i="1"/>
  <c r="Q57" i="1"/>
  <c r="Q59" i="1"/>
  <c r="U59" i="1" s="1"/>
  <c r="Q60" i="1"/>
  <c r="R23" i="1"/>
  <c r="R57" i="1"/>
  <c r="G4" i="1"/>
  <c r="F4" i="1"/>
  <c r="T2" i="1"/>
  <c r="C4" i="1"/>
  <c r="T5" i="1" s="1"/>
  <c r="O4" i="1"/>
  <c r="O11" i="1"/>
  <c r="D6" i="1"/>
  <c r="C6" i="1"/>
  <c r="T7" i="1" s="1"/>
  <c r="C7" i="1"/>
  <c r="G7" i="1"/>
  <c r="G9" i="1"/>
  <c r="G10" i="1"/>
  <c r="G8" i="1"/>
  <c r="G11" i="1"/>
  <c r="G12" i="1"/>
  <c r="G6" i="1"/>
  <c r="G3" i="1"/>
  <c r="G5" i="1"/>
  <c r="G2" i="1"/>
  <c r="F8" i="1"/>
  <c r="F12" i="1"/>
  <c r="F11" i="1"/>
  <c r="F10" i="1"/>
  <c r="F9" i="1"/>
  <c r="F7" i="1"/>
  <c r="F6" i="1"/>
  <c r="F3" i="1"/>
  <c r="F5" i="1"/>
  <c r="F2" i="1"/>
  <c r="D2" i="1"/>
  <c r="D8" i="1"/>
  <c r="D12" i="1"/>
  <c r="D11" i="1"/>
  <c r="D10" i="1"/>
  <c r="D9" i="1"/>
  <c r="D7" i="1"/>
  <c r="D3" i="1"/>
  <c r="D5" i="1"/>
  <c r="C12" i="1"/>
  <c r="C11" i="1"/>
  <c r="C10" i="1"/>
  <c r="C9" i="1"/>
  <c r="P8" i="1"/>
  <c r="O2" i="1"/>
  <c r="O5" i="1"/>
  <c r="O3" i="1"/>
  <c r="O6" i="1"/>
  <c r="O7" i="1"/>
  <c r="O9" i="1"/>
  <c r="O10" i="1"/>
  <c r="O12" i="1"/>
  <c r="D30" i="28" l="1"/>
  <c r="K35" i="28"/>
  <c r="O35" i="28" s="1"/>
  <c r="U134" i="1"/>
  <c r="C30" i="28"/>
  <c r="F28" i="28"/>
  <c r="D28" i="28"/>
  <c r="B39" i="28"/>
  <c r="G39" i="28" s="1"/>
  <c r="T21" i="28"/>
  <c r="C28" i="28"/>
  <c r="T29" i="28" s="1"/>
  <c r="T20" i="28"/>
  <c r="G33" i="28"/>
  <c r="C44" i="28"/>
  <c r="G44" i="28"/>
  <c r="C33" i="28"/>
  <c r="D44" i="28"/>
  <c r="D33" i="28"/>
  <c r="F44" i="28"/>
  <c r="F33" i="28"/>
  <c r="C45" i="28"/>
  <c r="F26" i="28"/>
  <c r="D26" i="28"/>
  <c r="C26" i="28"/>
  <c r="G26" i="28"/>
  <c r="K36" i="28"/>
  <c r="K47" i="28" s="1"/>
  <c r="G45" i="28"/>
  <c r="B56" i="28"/>
  <c r="C56" i="28" s="1"/>
  <c r="C34" i="28"/>
  <c r="D34" i="28"/>
  <c r="F45" i="28"/>
  <c r="C25" i="28"/>
  <c r="G25" i="28"/>
  <c r="F25" i="28"/>
  <c r="D25" i="28"/>
  <c r="B36" i="28"/>
  <c r="F34" i="28"/>
  <c r="G34" i="28"/>
  <c r="F30" i="28"/>
  <c r="G30" i="28"/>
  <c r="D37" i="28"/>
  <c r="C37" i="28"/>
  <c r="B48" i="28"/>
  <c r="G37" i="28"/>
  <c r="F37" i="28"/>
  <c r="O38" i="28"/>
  <c r="K49" i="28"/>
  <c r="G24" i="28"/>
  <c r="F24" i="28"/>
  <c r="D24" i="28"/>
  <c r="C24" i="28"/>
  <c r="B35" i="28"/>
  <c r="G41" i="28"/>
  <c r="F41" i="28"/>
  <c r="D41" i="28"/>
  <c r="C41" i="28"/>
  <c r="B52" i="28"/>
  <c r="B43" i="28"/>
  <c r="G32" i="28"/>
  <c r="C32" i="28"/>
  <c r="F32" i="28"/>
  <c r="D32" i="28"/>
  <c r="O33" i="28"/>
  <c r="K44" i="28"/>
  <c r="D55" i="28"/>
  <c r="C55" i="28"/>
  <c r="B66" i="28"/>
  <c r="G55" i="28"/>
  <c r="F55" i="28"/>
  <c r="K39" i="28"/>
  <c r="O28" i="28"/>
  <c r="G42" i="28"/>
  <c r="F42" i="28"/>
  <c r="D42" i="28"/>
  <c r="C42" i="28"/>
  <c r="B53" i="28"/>
  <c r="O43" i="28"/>
  <c r="K54" i="28"/>
  <c r="G29" i="28"/>
  <c r="F29" i="28"/>
  <c r="D29" i="28"/>
  <c r="C29" i="28"/>
  <c r="B40" i="28"/>
  <c r="B38" i="28"/>
  <c r="G27" i="28"/>
  <c r="F27" i="28"/>
  <c r="D27" i="28"/>
  <c r="C27" i="28"/>
  <c r="O31" i="28"/>
  <c r="K42" i="28"/>
  <c r="O37" i="28"/>
  <c r="K48" i="28"/>
  <c r="O45" i="28"/>
  <c r="K56" i="28"/>
  <c r="F39" i="28"/>
  <c r="T23" i="28"/>
  <c r="T22" i="28"/>
  <c r="K40" i="28"/>
  <c r="O29" i="28"/>
  <c r="U74" i="1"/>
  <c r="Q10" i="1"/>
  <c r="B25" i="1"/>
  <c r="B36" i="1" s="1"/>
  <c r="C14" i="1"/>
  <c r="B34" i="1"/>
  <c r="C34" i="1" s="1"/>
  <c r="C23" i="1"/>
  <c r="B33" i="1"/>
  <c r="C33" i="1" s="1"/>
  <c r="C22" i="1"/>
  <c r="U116" i="1"/>
  <c r="B28" i="1"/>
  <c r="D28" i="1" s="1"/>
  <c r="C17" i="1"/>
  <c r="T18" i="1" s="1"/>
  <c r="B27" i="1"/>
  <c r="B38" i="1" s="1"/>
  <c r="C16" i="1"/>
  <c r="B26" i="1"/>
  <c r="B37" i="1" s="1"/>
  <c r="C15" i="1"/>
  <c r="B30" i="1"/>
  <c r="G30" i="1" s="1"/>
  <c r="C19" i="1"/>
  <c r="B32" i="1"/>
  <c r="C32" i="1" s="1"/>
  <c r="C21" i="1"/>
  <c r="B31" i="1"/>
  <c r="C31" i="1" s="1"/>
  <c r="C20" i="1"/>
  <c r="B29" i="1"/>
  <c r="F29" i="1" s="1"/>
  <c r="C18" i="1"/>
  <c r="B24" i="1"/>
  <c r="F24" i="1" s="1"/>
  <c r="C13" i="1"/>
  <c r="R9" i="1"/>
  <c r="U61" i="1"/>
  <c r="U105" i="1"/>
  <c r="N6" i="1"/>
  <c r="R6" i="1" s="1"/>
  <c r="U50" i="1"/>
  <c r="U25" i="1"/>
  <c r="U113" i="1"/>
  <c r="U102" i="1"/>
  <c r="U117" i="1"/>
  <c r="U30" i="1"/>
  <c r="U118" i="1"/>
  <c r="U96" i="1"/>
  <c r="U40" i="1"/>
  <c r="U39" i="1"/>
  <c r="U63" i="1"/>
  <c r="U68" i="1"/>
  <c r="U79" i="1"/>
  <c r="U127" i="1"/>
  <c r="U80" i="1"/>
  <c r="U123" i="1"/>
  <c r="U52" i="1"/>
  <c r="U140" i="1"/>
  <c r="U51" i="1"/>
  <c r="U91" i="1"/>
  <c r="U138" i="1"/>
  <c r="U83" i="1"/>
  <c r="U69" i="1"/>
  <c r="U41" i="1"/>
  <c r="U129" i="1"/>
  <c r="Q8" i="1"/>
  <c r="U8" i="1" s="1"/>
  <c r="U94" i="1"/>
  <c r="U95" i="1"/>
  <c r="U24" i="1"/>
  <c r="U85" i="1"/>
  <c r="U28" i="1"/>
  <c r="U36" i="1"/>
  <c r="U124" i="1"/>
  <c r="U2" i="1"/>
  <c r="U90" i="1"/>
  <c r="U35" i="1"/>
  <c r="U101" i="1"/>
  <c r="U47" i="1"/>
  <c r="U135" i="1"/>
  <c r="U112" i="1"/>
  <c r="U58" i="1"/>
  <c r="U13" i="1"/>
  <c r="U46" i="1"/>
  <c r="U57" i="1"/>
  <c r="U3" i="1"/>
  <c r="U14" i="1"/>
  <c r="U19" i="1"/>
  <c r="U107" i="1"/>
  <c r="U72" i="1"/>
  <c r="N28" i="1"/>
  <c r="R28" i="1" s="1"/>
  <c r="H118" i="1"/>
  <c r="H129" i="1" s="1"/>
  <c r="H140" i="1" s="1"/>
  <c r="N138" i="1"/>
  <c r="R138" i="1" s="1"/>
  <c r="N128" i="1"/>
  <c r="R128" i="1" s="1"/>
  <c r="N127" i="1"/>
  <c r="R127" i="1" s="1"/>
  <c r="N116" i="1"/>
  <c r="R116" i="1" s="1"/>
  <c r="N105" i="1"/>
  <c r="R105" i="1" s="1"/>
  <c r="Q17" i="1"/>
  <c r="U17" i="1" s="1"/>
  <c r="N94" i="1"/>
  <c r="R94" i="1" s="1"/>
  <c r="N83" i="1"/>
  <c r="R83" i="1" s="1"/>
  <c r="N72" i="1"/>
  <c r="R72" i="1" s="1"/>
  <c r="N61" i="1"/>
  <c r="R61" i="1" s="1"/>
  <c r="N50" i="1"/>
  <c r="R50" i="1" s="1"/>
  <c r="N40" i="1"/>
  <c r="R40" i="1" s="1"/>
  <c r="N39" i="1"/>
  <c r="R39" i="1" s="1"/>
  <c r="Q21" i="1"/>
  <c r="N20" i="1"/>
  <c r="R20" i="1" s="1"/>
  <c r="R18" i="1"/>
  <c r="N14" i="1"/>
  <c r="R14" i="1" s="1"/>
  <c r="U6" i="1"/>
  <c r="T12" i="1"/>
  <c r="T11" i="1"/>
  <c r="S113" i="1"/>
  <c r="S124" i="1" s="1"/>
  <c r="S135" i="1" s="1"/>
  <c r="N2" i="1"/>
  <c r="R5" i="1"/>
  <c r="Q64" i="1"/>
  <c r="Q65" i="1"/>
  <c r="Q53" i="1"/>
  <c r="Q54" i="1"/>
  <c r="Q42" i="1"/>
  <c r="Q9" i="1"/>
  <c r="Q43" i="1"/>
  <c r="Q31" i="1"/>
  <c r="Q29" i="1"/>
  <c r="U29" i="1" s="1"/>
  <c r="Q32" i="1"/>
  <c r="D22" i="1"/>
  <c r="D20" i="1"/>
  <c r="D23" i="1"/>
  <c r="D21" i="1"/>
  <c r="D19" i="1"/>
  <c r="D18" i="1"/>
  <c r="D17" i="1"/>
  <c r="D16" i="1"/>
  <c r="D15" i="1"/>
  <c r="D14" i="1"/>
  <c r="D13" i="1"/>
  <c r="Q141" i="1"/>
  <c r="Q139" i="1"/>
  <c r="U139" i="1" s="1"/>
  <c r="Q128" i="1"/>
  <c r="U128" i="1" s="1"/>
  <c r="Q130" i="1"/>
  <c r="Q142" i="1"/>
  <c r="Q131" i="1"/>
  <c r="Q120" i="1"/>
  <c r="Q109" i="1"/>
  <c r="Q119" i="1"/>
  <c r="Q108" i="1"/>
  <c r="Q106" i="1"/>
  <c r="U106" i="1" s="1"/>
  <c r="Q97" i="1"/>
  <c r="Q76" i="1"/>
  <c r="Q7" i="1"/>
  <c r="U7" i="1" s="1"/>
  <c r="Q98" i="1"/>
  <c r="Q84" i="1"/>
  <c r="U84" i="1" s="1"/>
  <c r="Q86" i="1"/>
  <c r="Q87" i="1"/>
  <c r="Q75" i="1"/>
  <c r="Q73" i="1"/>
  <c r="U73" i="1" s="1"/>
  <c r="R10" i="1"/>
  <c r="K33" i="1"/>
  <c r="O33" i="1" s="1"/>
  <c r="N95" i="1"/>
  <c r="R95" i="1" s="1"/>
  <c r="Q62" i="1"/>
  <c r="U62" i="1" s="1"/>
  <c r="N117" i="1"/>
  <c r="R117" i="1" s="1"/>
  <c r="N51" i="1"/>
  <c r="R51" i="1" s="1"/>
  <c r="K29" i="1"/>
  <c r="O29" i="1" s="1"/>
  <c r="K25" i="1"/>
  <c r="K36" i="1" s="1"/>
  <c r="K47" i="1" s="1"/>
  <c r="O23" i="1"/>
  <c r="O13" i="1"/>
  <c r="K35" i="1"/>
  <c r="K46" i="1" s="1"/>
  <c r="O24" i="1"/>
  <c r="O20" i="1"/>
  <c r="O16" i="1"/>
  <c r="O15" i="1"/>
  <c r="O31" i="1"/>
  <c r="K42" i="1"/>
  <c r="K38" i="1"/>
  <c r="O27" i="1"/>
  <c r="O34" i="1"/>
  <c r="K45" i="1"/>
  <c r="O26" i="1"/>
  <c r="K37" i="1"/>
  <c r="K32" i="1"/>
  <c r="K28" i="1"/>
  <c r="Q18" i="1"/>
  <c r="U18" i="1" s="1"/>
  <c r="T9" i="1"/>
  <c r="R21" i="1"/>
  <c r="T10" i="1"/>
  <c r="F21" i="1"/>
  <c r="F20" i="1"/>
  <c r="F19" i="1"/>
  <c r="F13" i="1"/>
  <c r="G20" i="1"/>
  <c r="G19" i="1"/>
  <c r="G18" i="1"/>
  <c r="F18" i="1"/>
  <c r="G25" i="1"/>
  <c r="G17" i="1"/>
  <c r="F25" i="1"/>
  <c r="F17" i="1"/>
  <c r="G16" i="1"/>
  <c r="F16" i="1"/>
  <c r="G23" i="1"/>
  <c r="G15" i="1"/>
  <c r="F23" i="1"/>
  <c r="F15" i="1"/>
  <c r="G22" i="1"/>
  <c r="G14" i="1"/>
  <c r="F22" i="1"/>
  <c r="F14" i="1"/>
  <c r="G21" i="1"/>
  <c r="G13" i="1"/>
  <c r="B43" i="1"/>
  <c r="B39" i="1" l="1"/>
  <c r="G28" i="1"/>
  <c r="K46" i="28"/>
  <c r="O46" i="28" s="1"/>
  <c r="F32" i="1"/>
  <c r="F31" i="1"/>
  <c r="G24" i="1"/>
  <c r="B35" i="1"/>
  <c r="C35" i="1" s="1"/>
  <c r="D31" i="1"/>
  <c r="C39" i="28"/>
  <c r="T40" i="28" s="1"/>
  <c r="B50" i="28"/>
  <c r="F34" i="1"/>
  <c r="B40" i="1"/>
  <c r="B51" i="1" s="1"/>
  <c r="B45" i="1"/>
  <c r="D45" i="1" s="1"/>
  <c r="B44" i="1"/>
  <c r="G44" i="1" s="1"/>
  <c r="G33" i="1"/>
  <c r="D33" i="1"/>
  <c r="G31" i="1"/>
  <c r="B42" i="1"/>
  <c r="C42" i="1" s="1"/>
  <c r="D29" i="1"/>
  <c r="F33" i="1"/>
  <c r="D39" i="28"/>
  <c r="D56" i="28"/>
  <c r="O36" i="28"/>
  <c r="B67" i="28"/>
  <c r="D67" i="28" s="1"/>
  <c r="G56" i="28"/>
  <c r="F56" i="28"/>
  <c r="G36" i="28"/>
  <c r="B47" i="28"/>
  <c r="D36" i="28"/>
  <c r="C36" i="28"/>
  <c r="F36" i="28"/>
  <c r="G40" i="28"/>
  <c r="F40" i="28"/>
  <c r="D40" i="28"/>
  <c r="C40" i="28"/>
  <c r="B51" i="28"/>
  <c r="G66" i="28"/>
  <c r="F66" i="28"/>
  <c r="D66" i="28"/>
  <c r="C66" i="28"/>
  <c r="B77" i="28"/>
  <c r="K51" i="28"/>
  <c r="O40" i="28"/>
  <c r="K53" i="28"/>
  <c r="O42" i="28"/>
  <c r="T31" i="28"/>
  <c r="T27" i="28"/>
  <c r="T32" i="28"/>
  <c r="K58" i="28"/>
  <c r="O47" i="28"/>
  <c r="K65" i="28"/>
  <c r="O54" i="28"/>
  <c r="O44" i="28"/>
  <c r="K55" i="28"/>
  <c r="K59" i="28"/>
  <c r="O48" i="28"/>
  <c r="T34" i="28"/>
  <c r="T33" i="28"/>
  <c r="K60" i="28"/>
  <c r="O49" i="28"/>
  <c r="G53" i="28"/>
  <c r="F53" i="28"/>
  <c r="D53" i="28"/>
  <c r="B64" i="28"/>
  <c r="C53" i="28"/>
  <c r="O39" i="28"/>
  <c r="K50" i="28"/>
  <c r="G35" i="28"/>
  <c r="F35" i="28"/>
  <c r="D35" i="28"/>
  <c r="C35" i="28"/>
  <c r="B46" i="28"/>
  <c r="C50" i="28"/>
  <c r="T51" i="28" s="1"/>
  <c r="B61" i="28"/>
  <c r="G50" i="28"/>
  <c r="F50" i="28"/>
  <c r="D50" i="28"/>
  <c r="D38" i="28"/>
  <c r="C38" i="28"/>
  <c r="B49" i="28"/>
  <c r="F38" i="28"/>
  <c r="G38" i="28"/>
  <c r="G48" i="28"/>
  <c r="B59" i="28"/>
  <c r="F48" i="28"/>
  <c r="D48" i="28"/>
  <c r="C48" i="28"/>
  <c r="K67" i="28"/>
  <c r="O56" i="28"/>
  <c r="D43" i="28"/>
  <c r="C43" i="28"/>
  <c r="B54" i="28"/>
  <c r="G43" i="28"/>
  <c r="F43" i="28"/>
  <c r="G52" i="28"/>
  <c r="F52" i="28"/>
  <c r="B63" i="28"/>
  <c r="D52" i="28"/>
  <c r="C52" i="28"/>
  <c r="D34" i="1"/>
  <c r="T20" i="1"/>
  <c r="T21" i="1"/>
  <c r="T16" i="1"/>
  <c r="T22" i="1"/>
  <c r="T23" i="1"/>
  <c r="D30" i="1"/>
  <c r="G27" i="1"/>
  <c r="G26" i="1"/>
  <c r="F27" i="1"/>
  <c r="G34" i="1"/>
  <c r="D32" i="1"/>
  <c r="G32" i="1"/>
  <c r="D37" i="1"/>
  <c r="C37" i="1"/>
  <c r="D27" i="1"/>
  <c r="C27" i="1"/>
  <c r="D36" i="1"/>
  <c r="C36" i="1"/>
  <c r="F28" i="1"/>
  <c r="C28" i="1"/>
  <c r="T29" i="1" s="1"/>
  <c r="D38" i="1"/>
  <c r="C38" i="1"/>
  <c r="D24" i="1"/>
  <c r="C24" i="1"/>
  <c r="D26" i="1"/>
  <c r="C26" i="1"/>
  <c r="D39" i="1"/>
  <c r="C39" i="1"/>
  <c r="T40" i="1" s="1"/>
  <c r="F30" i="1"/>
  <c r="C30" i="1"/>
  <c r="G29" i="1"/>
  <c r="C29" i="1"/>
  <c r="B41" i="1"/>
  <c r="F41" i="1" s="1"/>
  <c r="F26" i="1"/>
  <c r="D43" i="1"/>
  <c r="C43" i="1"/>
  <c r="D25" i="1"/>
  <c r="C25" i="1"/>
  <c r="R2" i="1"/>
  <c r="B46" i="1"/>
  <c r="D35" i="1"/>
  <c r="O25" i="1"/>
  <c r="K40" i="1"/>
  <c r="O40" i="1" s="1"/>
  <c r="K44" i="1"/>
  <c r="K55" i="1" s="1"/>
  <c r="O36" i="1"/>
  <c r="O35" i="1"/>
  <c r="O28" i="1"/>
  <c r="K39" i="1"/>
  <c r="O32" i="1"/>
  <c r="K43" i="1"/>
  <c r="O47" i="1"/>
  <c r="K58" i="1"/>
  <c r="O37" i="1"/>
  <c r="K48" i="1"/>
  <c r="K56" i="1"/>
  <c r="O45" i="1"/>
  <c r="O38" i="1"/>
  <c r="K49" i="1"/>
  <c r="O42" i="1"/>
  <c r="K53" i="1"/>
  <c r="O46" i="1"/>
  <c r="K57" i="1"/>
  <c r="F39" i="1"/>
  <c r="G39" i="1"/>
  <c r="F43" i="1"/>
  <c r="G43" i="1"/>
  <c r="F35" i="1"/>
  <c r="G35" i="1"/>
  <c r="F36" i="1"/>
  <c r="G36" i="1"/>
  <c r="G37" i="1"/>
  <c r="F37" i="1"/>
  <c r="F38" i="1"/>
  <c r="G38" i="1"/>
  <c r="B49" i="1"/>
  <c r="B50" i="1"/>
  <c r="B54" i="1"/>
  <c r="B48" i="1"/>
  <c r="B47" i="1"/>
  <c r="D44" i="1" l="1"/>
  <c r="C44" i="1"/>
  <c r="T38" i="1"/>
  <c r="K57" i="28"/>
  <c r="O57" i="28" s="1"/>
  <c r="F44" i="1"/>
  <c r="G45" i="1"/>
  <c r="B56" i="1"/>
  <c r="B67" i="1" s="1"/>
  <c r="F45" i="1"/>
  <c r="C45" i="1"/>
  <c r="F40" i="1"/>
  <c r="G42" i="1"/>
  <c r="G40" i="1"/>
  <c r="C40" i="1"/>
  <c r="T43" i="1" s="1"/>
  <c r="D40" i="1"/>
  <c r="B53" i="1"/>
  <c r="C53" i="1" s="1"/>
  <c r="D42" i="1"/>
  <c r="F67" i="28"/>
  <c r="G67" i="28"/>
  <c r="B78" i="28"/>
  <c r="D78" i="28" s="1"/>
  <c r="C67" i="28"/>
  <c r="B55" i="1"/>
  <c r="F55" i="1" s="1"/>
  <c r="F42" i="1"/>
  <c r="B58" i="28"/>
  <c r="F47" i="28"/>
  <c r="G47" i="28"/>
  <c r="D47" i="28"/>
  <c r="C47" i="28"/>
  <c r="G64" i="28"/>
  <c r="F64" i="28"/>
  <c r="B75" i="28"/>
  <c r="D64" i="28"/>
  <c r="C64" i="28"/>
  <c r="O50" i="28"/>
  <c r="K61" i="28"/>
  <c r="B74" i="28"/>
  <c r="G63" i="28"/>
  <c r="F63" i="28"/>
  <c r="D63" i="28"/>
  <c r="C63" i="28"/>
  <c r="G77" i="28"/>
  <c r="C77" i="28"/>
  <c r="B88" i="28"/>
  <c r="F77" i="28"/>
  <c r="D77" i="28"/>
  <c r="K76" i="28"/>
  <c r="O65" i="28"/>
  <c r="K69" i="28"/>
  <c r="O58" i="28"/>
  <c r="K71" i="28"/>
  <c r="O60" i="28"/>
  <c r="K64" i="28"/>
  <c r="O53" i="28"/>
  <c r="T45" i="28"/>
  <c r="T44" i="28"/>
  <c r="G54" i="28"/>
  <c r="F54" i="28"/>
  <c r="D54" i="28"/>
  <c r="C54" i="28"/>
  <c r="B65" i="28"/>
  <c r="D61" i="28"/>
  <c r="G61" i="28"/>
  <c r="F61" i="28"/>
  <c r="C61" i="28"/>
  <c r="T62" i="28" s="1"/>
  <c r="B72" i="28"/>
  <c r="O67" i="28"/>
  <c r="K78" i="28"/>
  <c r="B57" i="28"/>
  <c r="G46" i="28"/>
  <c r="F46" i="28"/>
  <c r="D46" i="28"/>
  <c r="C46" i="28"/>
  <c r="O51" i="28"/>
  <c r="K62" i="28"/>
  <c r="B62" i="28"/>
  <c r="G51" i="28"/>
  <c r="F51" i="28"/>
  <c r="D51" i="28"/>
  <c r="C51" i="28"/>
  <c r="G49" i="28"/>
  <c r="F49" i="28"/>
  <c r="D49" i="28"/>
  <c r="C49" i="28"/>
  <c r="B60" i="28"/>
  <c r="T38" i="28"/>
  <c r="T43" i="28"/>
  <c r="T42" i="28"/>
  <c r="K70" i="28"/>
  <c r="O59" i="28"/>
  <c r="K66" i="28"/>
  <c r="O55" i="28"/>
  <c r="G59" i="28"/>
  <c r="B70" i="28"/>
  <c r="F59" i="28"/>
  <c r="D59" i="28"/>
  <c r="C59" i="28"/>
  <c r="T33" i="1"/>
  <c r="T34" i="1"/>
  <c r="T27" i="1"/>
  <c r="T31" i="1"/>
  <c r="T32" i="1"/>
  <c r="G41" i="1"/>
  <c r="B52" i="1"/>
  <c r="D52" i="1" s="1"/>
  <c r="T44" i="1"/>
  <c r="T45" i="1"/>
  <c r="D41" i="1"/>
  <c r="C41" i="1"/>
  <c r="D50" i="1"/>
  <c r="C50" i="1"/>
  <c r="T51" i="1" s="1"/>
  <c r="D49" i="1"/>
  <c r="C49" i="1"/>
  <c r="D54" i="1"/>
  <c r="C54" i="1"/>
  <c r="D46" i="1"/>
  <c r="C46" i="1"/>
  <c r="D47" i="1"/>
  <c r="C47" i="1"/>
  <c r="D51" i="1"/>
  <c r="C51" i="1"/>
  <c r="D48" i="1"/>
  <c r="C48" i="1"/>
  <c r="D56" i="1"/>
  <c r="C56" i="1"/>
  <c r="G46" i="1"/>
  <c r="F46" i="1"/>
  <c r="B57" i="1"/>
  <c r="K51" i="1"/>
  <c r="K62" i="1" s="1"/>
  <c r="O44" i="1"/>
  <c r="O49" i="1"/>
  <c r="K60" i="1"/>
  <c r="O43" i="1"/>
  <c r="K54" i="1"/>
  <c r="O48" i="1"/>
  <c r="K59" i="1"/>
  <c r="O58" i="1"/>
  <c r="K69" i="1"/>
  <c r="K67" i="1"/>
  <c r="O56" i="1"/>
  <c r="O53" i="1"/>
  <c r="K64" i="1"/>
  <c r="K50" i="1"/>
  <c r="O39" i="1"/>
  <c r="K66" i="1"/>
  <c r="O55" i="1"/>
  <c r="O57" i="1"/>
  <c r="K68" i="1"/>
  <c r="F51" i="1"/>
  <c r="G51" i="1"/>
  <c r="F48" i="1"/>
  <c r="G48" i="1"/>
  <c r="F50" i="1"/>
  <c r="G50" i="1"/>
  <c r="F47" i="1"/>
  <c r="G47" i="1"/>
  <c r="F49" i="1"/>
  <c r="G49" i="1"/>
  <c r="F56" i="1"/>
  <c r="G56" i="1"/>
  <c r="F54" i="1"/>
  <c r="G54" i="1"/>
  <c r="B58" i="1"/>
  <c r="B61" i="1"/>
  <c r="B65" i="1"/>
  <c r="B59" i="1"/>
  <c r="B62" i="1"/>
  <c r="B60" i="1"/>
  <c r="F53" i="1" l="1"/>
  <c r="G53" i="1"/>
  <c r="B64" i="1"/>
  <c r="C78" i="28"/>
  <c r="K68" i="28"/>
  <c r="O68" i="28" s="1"/>
  <c r="B89" i="28"/>
  <c r="F78" i="28"/>
  <c r="G78" i="28"/>
  <c r="T42" i="1"/>
  <c r="D53" i="1"/>
  <c r="B63" i="1"/>
  <c r="F63" i="1" s="1"/>
  <c r="G52" i="1"/>
  <c r="F52" i="1"/>
  <c r="B66" i="1"/>
  <c r="D66" i="1" s="1"/>
  <c r="D55" i="1"/>
  <c r="C55" i="1"/>
  <c r="G55" i="1"/>
  <c r="F58" i="28"/>
  <c r="D58" i="28"/>
  <c r="B69" i="28"/>
  <c r="G58" i="28"/>
  <c r="C58" i="28"/>
  <c r="G60" i="28"/>
  <c r="F60" i="28"/>
  <c r="D60" i="28"/>
  <c r="B71" i="28"/>
  <c r="C60" i="28"/>
  <c r="B68" i="28"/>
  <c r="C57" i="28"/>
  <c r="G57" i="28"/>
  <c r="F57" i="28"/>
  <c r="D57" i="28"/>
  <c r="K75" i="28"/>
  <c r="O64" i="28"/>
  <c r="B81" i="28"/>
  <c r="G70" i="28"/>
  <c r="F70" i="28"/>
  <c r="D70" i="28"/>
  <c r="C70" i="28"/>
  <c r="K82" i="28"/>
  <c r="O71" i="28"/>
  <c r="C74" i="28"/>
  <c r="D74" i="28"/>
  <c r="B85" i="28"/>
  <c r="G74" i="28"/>
  <c r="F74" i="28"/>
  <c r="T56" i="28"/>
  <c r="T55" i="28"/>
  <c r="G72" i="28"/>
  <c r="F72" i="28"/>
  <c r="B83" i="28"/>
  <c r="D72" i="28"/>
  <c r="C72" i="28"/>
  <c r="T73" i="28" s="1"/>
  <c r="B86" i="28"/>
  <c r="G75" i="28"/>
  <c r="F75" i="28"/>
  <c r="D75" i="28"/>
  <c r="C75" i="28"/>
  <c r="O76" i="28"/>
  <c r="K87" i="28"/>
  <c r="B99" i="28"/>
  <c r="G88" i="28"/>
  <c r="F88" i="28"/>
  <c r="D88" i="28"/>
  <c r="C88" i="28"/>
  <c r="K77" i="28"/>
  <c r="O66" i="28"/>
  <c r="O62" i="28"/>
  <c r="K73" i="28"/>
  <c r="G65" i="28"/>
  <c r="F65" i="28"/>
  <c r="D65" i="28"/>
  <c r="C65" i="28"/>
  <c r="B76" i="28"/>
  <c r="K89" i="28"/>
  <c r="O78" i="28"/>
  <c r="O70" i="28"/>
  <c r="K81" i="28"/>
  <c r="T49" i="28"/>
  <c r="T54" i="28"/>
  <c r="T53" i="28"/>
  <c r="B100" i="28"/>
  <c r="G89" i="28"/>
  <c r="F89" i="28"/>
  <c r="D89" i="28"/>
  <c r="C89" i="28"/>
  <c r="O69" i="28"/>
  <c r="K80" i="28"/>
  <c r="K72" i="28"/>
  <c r="O61" i="28"/>
  <c r="B73" i="28"/>
  <c r="G62" i="28"/>
  <c r="F62" i="28"/>
  <c r="D62" i="28"/>
  <c r="C62" i="28"/>
  <c r="C52" i="1"/>
  <c r="T49" i="1"/>
  <c r="T54" i="1"/>
  <c r="T53" i="1"/>
  <c r="T55" i="1"/>
  <c r="T56" i="1"/>
  <c r="D60" i="1"/>
  <c r="C60" i="1"/>
  <c r="D62" i="1"/>
  <c r="C62" i="1"/>
  <c r="D57" i="1"/>
  <c r="C57" i="1"/>
  <c r="D64" i="1"/>
  <c r="C64" i="1"/>
  <c r="D58" i="1"/>
  <c r="C58" i="1"/>
  <c r="D61" i="1"/>
  <c r="C61" i="1"/>
  <c r="T62" i="1" s="1"/>
  <c r="D59" i="1"/>
  <c r="C59" i="1"/>
  <c r="D65" i="1"/>
  <c r="C65" i="1"/>
  <c r="D67" i="1"/>
  <c r="C67" i="1"/>
  <c r="C63" i="1"/>
  <c r="G57" i="1"/>
  <c r="F57" i="1"/>
  <c r="B68" i="1"/>
  <c r="O51" i="1"/>
  <c r="O64" i="1"/>
  <c r="K75" i="1"/>
  <c r="O54" i="1"/>
  <c r="K65" i="1"/>
  <c r="O66" i="1"/>
  <c r="K77" i="1"/>
  <c r="O50" i="1"/>
  <c r="K61" i="1"/>
  <c r="O69" i="1"/>
  <c r="K80" i="1"/>
  <c r="K78" i="1"/>
  <c r="O67" i="1"/>
  <c r="K71" i="1"/>
  <c r="O60" i="1"/>
  <c r="K70" i="1"/>
  <c r="O59" i="1"/>
  <c r="O68" i="1"/>
  <c r="K79" i="1"/>
  <c r="K73" i="1"/>
  <c r="O62" i="1"/>
  <c r="F59" i="1"/>
  <c r="G59" i="1"/>
  <c r="F65" i="1"/>
  <c r="G65" i="1"/>
  <c r="F64" i="1"/>
  <c r="G64" i="1"/>
  <c r="F60" i="1"/>
  <c r="G60" i="1"/>
  <c r="G61" i="1"/>
  <c r="F61" i="1"/>
  <c r="F58" i="1"/>
  <c r="G58" i="1"/>
  <c r="F67" i="1"/>
  <c r="G67" i="1"/>
  <c r="F62" i="1"/>
  <c r="G62" i="1"/>
  <c r="B70" i="1"/>
  <c r="B76" i="1"/>
  <c r="B72" i="1"/>
  <c r="B73" i="1"/>
  <c r="B74" i="1"/>
  <c r="B69" i="1"/>
  <c r="B77" i="1"/>
  <c r="B71" i="1"/>
  <c r="B78" i="1"/>
  <c r="B75" i="1"/>
  <c r="D63" i="1" l="1"/>
  <c r="G63" i="1"/>
  <c r="G66" i="1"/>
  <c r="C66" i="1"/>
  <c r="F66" i="1"/>
  <c r="K79" i="28"/>
  <c r="K90" i="28" s="1"/>
  <c r="G69" i="28"/>
  <c r="C69" i="28"/>
  <c r="B80" i="28"/>
  <c r="F69" i="28"/>
  <c r="D69" i="28"/>
  <c r="O81" i="28"/>
  <c r="K92" i="28"/>
  <c r="B94" i="28"/>
  <c r="G83" i="28"/>
  <c r="D83" i="28"/>
  <c r="F83" i="28"/>
  <c r="C83" i="28"/>
  <c r="T84" i="28" s="1"/>
  <c r="B92" i="28"/>
  <c r="D81" i="28"/>
  <c r="G81" i="28"/>
  <c r="F81" i="28"/>
  <c r="C81" i="28"/>
  <c r="O87" i="28"/>
  <c r="K98" i="28"/>
  <c r="O75" i="28"/>
  <c r="K86" i="28"/>
  <c r="O80" i="28"/>
  <c r="K91" i="28"/>
  <c r="B87" i="28"/>
  <c r="F76" i="28"/>
  <c r="G76" i="28"/>
  <c r="D76" i="28"/>
  <c r="C76" i="28"/>
  <c r="T60" i="28"/>
  <c r="T64" i="28"/>
  <c r="T65" i="28"/>
  <c r="K83" i="28"/>
  <c r="O72" i="28"/>
  <c r="G85" i="28"/>
  <c r="F85" i="28"/>
  <c r="D85" i="28"/>
  <c r="C85" i="28"/>
  <c r="B96" i="28"/>
  <c r="D68" i="28"/>
  <c r="C68" i="28"/>
  <c r="B79" i="28"/>
  <c r="G68" i="28"/>
  <c r="F68" i="28"/>
  <c r="D86" i="28"/>
  <c r="C86" i="28"/>
  <c r="B97" i="28"/>
  <c r="G86" i="28"/>
  <c r="F86" i="28"/>
  <c r="T67" i="28"/>
  <c r="T66" i="28"/>
  <c r="F73" i="28"/>
  <c r="D73" i="28"/>
  <c r="C73" i="28"/>
  <c r="B84" i="28"/>
  <c r="G73" i="28"/>
  <c r="O73" i="28"/>
  <c r="K84" i="28"/>
  <c r="G71" i="28"/>
  <c r="F71" i="28"/>
  <c r="D71" i="28"/>
  <c r="C71" i="28"/>
  <c r="B82" i="28"/>
  <c r="B111" i="28"/>
  <c r="D100" i="28"/>
  <c r="C100" i="28"/>
  <c r="G100" i="28"/>
  <c r="F100" i="28"/>
  <c r="C99" i="28"/>
  <c r="B110" i="28"/>
  <c r="G99" i="28"/>
  <c r="F99" i="28"/>
  <c r="D99" i="28"/>
  <c r="O82" i="28"/>
  <c r="K93" i="28"/>
  <c r="O89" i="28"/>
  <c r="K100" i="28"/>
  <c r="K88" i="28"/>
  <c r="O77" i="28"/>
  <c r="T60" i="1"/>
  <c r="T64" i="1"/>
  <c r="T65" i="1"/>
  <c r="T66" i="1"/>
  <c r="T67" i="1"/>
  <c r="D76" i="1"/>
  <c r="C76" i="1"/>
  <c r="D75" i="1"/>
  <c r="C75" i="1"/>
  <c r="D71" i="1"/>
  <c r="C71" i="1"/>
  <c r="D69" i="1"/>
  <c r="C69" i="1"/>
  <c r="D68" i="1"/>
  <c r="C68" i="1"/>
  <c r="D78" i="1"/>
  <c r="C78" i="1"/>
  <c r="D73" i="1"/>
  <c r="C73" i="1"/>
  <c r="D70" i="1"/>
  <c r="C70" i="1"/>
  <c r="D77" i="1"/>
  <c r="C77" i="1"/>
  <c r="D74" i="1"/>
  <c r="C74" i="1"/>
  <c r="D72" i="1"/>
  <c r="C72" i="1"/>
  <c r="T73" i="1" s="1"/>
  <c r="G68" i="1"/>
  <c r="F68" i="1"/>
  <c r="B79" i="1"/>
  <c r="K82" i="1"/>
  <c r="O71" i="1"/>
  <c r="K91" i="1"/>
  <c r="O80" i="1"/>
  <c r="O65" i="1"/>
  <c r="K76" i="1"/>
  <c r="O70" i="1"/>
  <c r="K81" i="1"/>
  <c r="O78" i="1"/>
  <c r="K89" i="1"/>
  <c r="K72" i="1"/>
  <c r="O61" i="1"/>
  <c r="O77" i="1"/>
  <c r="K88" i="1"/>
  <c r="K90" i="1"/>
  <c r="O79" i="1"/>
  <c r="K86" i="1"/>
  <c r="O75" i="1"/>
  <c r="O73" i="1"/>
  <c r="K84" i="1"/>
  <c r="F78" i="1"/>
  <c r="G78" i="1"/>
  <c r="F71" i="1"/>
  <c r="G71" i="1"/>
  <c r="G77" i="1"/>
  <c r="F77" i="1"/>
  <c r="F75" i="1"/>
  <c r="G75" i="1"/>
  <c r="G69" i="1"/>
  <c r="F69" i="1"/>
  <c r="F74" i="1"/>
  <c r="G74" i="1"/>
  <c r="F73" i="1"/>
  <c r="G73" i="1"/>
  <c r="F72" i="1"/>
  <c r="G72" i="1"/>
  <c r="F76" i="1"/>
  <c r="G76" i="1"/>
  <c r="F70" i="1"/>
  <c r="G70" i="1"/>
  <c r="B80" i="1"/>
  <c r="B84" i="1"/>
  <c r="B88" i="1"/>
  <c r="B85" i="1"/>
  <c r="B87" i="1"/>
  <c r="B82" i="1"/>
  <c r="B81" i="1"/>
  <c r="B86" i="1"/>
  <c r="B83" i="1"/>
  <c r="B89" i="1"/>
  <c r="O79" i="28" l="1"/>
  <c r="B91" i="28"/>
  <c r="F80" i="28"/>
  <c r="D80" i="28"/>
  <c r="C80" i="28"/>
  <c r="G80" i="28"/>
  <c r="T77" i="28"/>
  <c r="T78" i="28"/>
  <c r="F92" i="28"/>
  <c r="D92" i="28"/>
  <c r="C92" i="28"/>
  <c r="B103" i="28"/>
  <c r="G92" i="28"/>
  <c r="F111" i="28"/>
  <c r="D111" i="28"/>
  <c r="C111" i="28"/>
  <c r="B122" i="28"/>
  <c r="G111" i="28"/>
  <c r="T75" i="28"/>
  <c r="T71" i="28"/>
  <c r="T76" i="28"/>
  <c r="B98" i="28"/>
  <c r="C87" i="28"/>
  <c r="G87" i="28"/>
  <c r="F87" i="28"/>
  <c r="D87" i="28"/>
  <c r="B105" i="28"/>
  <c r="G94" i="28"/>
  <c r="F94" i="28"/>
  <c r="D94" i="28"/>
  <c r="C94" i="28"/>
  <c r="T95" i="28" s="1"/>
  <c r="K103" i="28"/>
  <c r="O92" i="28"/>
  <c r="O88" i="28"/>
  <c r="K99" i="28"/>
  <c r="G84" i="28"/>
  <c r="F84" i="28"/>
  <c r="D84" i="28"/>
  <c r="C84" i="28"/>
  <c r="B95" i="28"/>
  <c r="G96" i="28"/>
  <c r="F96" i="28"/>
  <c r="D96" i="28"/>
  <c r="C96" i="28"/>
  <c r="B107" i="28"/>
  <c r="K94" i="28"/>
  <c r="O83" i="28"/>
  <c r="O100" i="28"/>
  <c r="K111" i="28"/>
  <c r="G110" i="28"/>
  <c r="F110" i="28"/>
  <c r="D110" i="28"/>
  <c r="C110" i="28"/>
  <c r="B121" i="28"/>
  <c r="O86" i="28"/>
  <c r="K97" i="28"/>
  <c r="K101" i="28"/>
  <c r="O90" i="28"/>
  <c r="O93" i="28"/>
  <c r="K104" i="28"/>
  <c r="B93" i="28"/>
  <c r="G82" i="28"/>
  <c r="F82" i="28"/>
  <c r="C82" i="28"/>
  <c r="D82" i="28"/>
  <c r="O98" i="28"/>
  <c r="K109" i="28"/>
  <c r="K95" i="28"/>
  <c r="O84" i="28"/>
  <c r="G97" i="28"/>
  <c r="F97" i="28"/>
  <c r="D97" i="28"/>
  <c r="C97" i="28"/>
  <c r="B108" i="28"/>
  <c r="G79" i="28"/>
  <c r="F79" i="28"/>
  <c r="B90" i="28"/>
  <c r="D79" i="28"/>
  <c r="C79" i="28"/>
  <c r="K102" i="28"/>
  <c r="O91" i="28"/>
  <c r="T71" i="1"/>
  <c r="T75" i="1"/>
  <c r="T76" i="1"/>
  <c r="T77" i="1"/>
  <c r="T78" i="1"/>
  <c r="D88" i="1"/>
  <c r="C88" i="1"/>
  <c r="D79" i="1"/>
  <c r="C79" i="1"/>
  <c r="D85" i="1"/>
  <c r="C85" i="1"/>
  <c r="D84" i="1"/>
  <c r="C84" i="1"/>
  <c r="D80" i="1"/>
  <c r="C80" i="1"/>
  <c r="D83" i="1"/>
  <c r="C83" i="1"/>
  <c r="T84" i="1" s="1"/>
  <c r="D89" i="1"/>
  <c r="C89" i="1"/>
  <c r="D86" i="1"/>
  <c r="C86" i="1"/>
  <c r="D81" i="1"/>
  <c r="C81" i="1"/>
  <c r="D82" i="1"/>
  <c r="C82" i="1"/>
  <c r="D87" i="1"/>
  <c r="C87" i="1"/>
  <c r="B90" i="1"/>
  <c r="G79" i="1"/>
  <c r="F79" i="1"/>
  <c r="O90" i="1"/>
  <c r="K101" i="1"/>
  <c r="O88" i="1"/>
  <c r="K99" i="1"/>
  <c r="O89" i="1"/>
  <c r="K100" i="1"/>
  <c r="O81" i="1"/>
  <c r="K92" i="1"/>
  <c r="K102" i="1"/>
  <c r="O91" i="1"/>
  <c r="K83" i="1"/>
  <c r="O72" i="1"/>
  <c r="O84" i="1"/>
  <c r="K95" i="1"/>
  <c r="K87" i="1"/>
  <c r="O76" i="1"/>
  <c r="O86" i="1"/>
  <c r="K97" i="1"/>
  <c r="O82" i="1"/>
  <c r="K93" i="1"/>
  <c r="F82" i="1"/>
  <c r="G82" i="1"/>
  <c r="G85" i="1"/>
  <c r="F85" i="1"/>
  <c r="F87" i="1"/>
  <c r="G87" i="1"/>
  <c r="F88" i="1"/>
  <c r="G88" i="1"/>
  <c r="F89" i="1"/>
  <c r="G89" i="1"/>
  <c r="F83" i="1"/>
  <c r="G83" i="1"/>
  <c r="F86" i="1"/>
  <c r="G86" i="1"/>
  <c r="F81" i="1"/>
  <c r="G81" i="1"/>
  <c r="F84" i="1"/>
  <c r="G84" i="1"/>
  <c r="F80" i="1"/>
  <c r="G80" i="1"/>
  <c r="B98" i="1"/>
  <c r="B100" i="1"/>
  <c r="B99" i="1"/>
  <c r="B97" i="1"/>
  <c r="B95" i="1"/>
  <c r="B96" i="1"/>
  <c r="B92" i="1"/>
  <c r="B93" i="1"/>
  <c r="B94" i="1"/>
  <c r="B91" i="1"/>
  <c r="G91" i="28" l="1"/>
  <c r="B102" i="28"/>
  <c r="D91" i="28"/>
  <c r="F91" i="28"/>
  <c r="C91" i="28"/>
  <c r="O99" i="28"/>
  <c r="K110" i="28"/>
  <c r="K113" i="28"/>
  <c r="O102" i="28"/>
  <c r="T89" i="28"/>
  <c r="T88" i="28"/>
  <c r="K114" i="28"/>
  <c r="O103" i="28"/>
  <c r="F98" i="28"/>
  <c r="D98" i="28"/>
  <c r="C98" i="28"/>
  <c r="B109" i="28"/>
  <c r="G98" i="28"/>
  <c r="G122" i="28"/>
  <c r="F122" i="28"/>
  <c r="D122" i="28"/>
  <c r="C122" i="28"/>
  <c r="B133" i="28"/>
  <c r="O94" i="28"/>
  <c r="K105" i="28"/>
  <c r="G121" i="28"/>
  <c r="F121" i="28"/>
  <c r="D121" i="28"/>
  <c r="C121" i="28"/>
  <c r="B132" i="28"/>
  <c r="O95" i="28"/>
  <c r="K106" i="28"/>
  <c r="O111" i="28"/>
  <c r="K122" i="28"/>
  <c r="D93" i="28"/>
  <c r="C93" i="28"/>
  <c r="B104" i="28"/>
  <c r="G93" i="28"/>
  <c r="F93" i="28"/>
  <c r="G103" i="28"/>
  <c r="F103" i="28"/>
  <c r="D103" i="28"/>
  <c r="C103" i="28"/>
  <c r="B114" i="28"/>
  <c r="K120" i="28"/>
  <c r="O109" i="28"/>
  <c r="D105" i="28"/>
  <c r="C105" i="28"/>
  <c r="T106" i="28" s="1"/>
  <c r="B116" i="28"/>
  <c r="G105" i="28"/>
  <c r="F105" i="28"/>
  <c r="B118" i="28"/>
  <c r="G107" i="28"/>
  <c r="F107" i="28"/>
  <c r="C107" i="28"/>
  <c r="D107" i="28"/>
  <c r="G108" i="28"/>
  <c r="F108" i="28"/>
  <c r="D108" i="28"/>
  <c r="C108" i="28"/>
  <c r="B119" i="28"/>
  <c r="O101" i="28"/>
  <c r="K112" i="28"/>
  <c r="K115" i="28"/>
  <c r="O104" i="28"/>
  <c r="K108" i="28"/>
  <c r="O97" i="28"/>
  <c r="B106" i="28"/>
  <c r="G95" i="28"/>
  <c r="F95" i="28"/>
  <c r="D95" i="28"/>
  <c r="C95" i="28"/>
  <c r="T86" i="28"/>
  <c r="T82" i="28"/>
  <c r="T87" i="28"/>
  <c r="G90" i="28"/>
  <c r="F90" i="28"/>
  <c r="B101" i="28"/>
  <c r="D90" i="28"/>
  <c r="C90" i="28"/>
  <c r="T88" i="1"/>
  <c r="T89" i="1"/>
  <c r="T87" i="1"/>
  <c r="T86" i="1"/>
  <c r="T82" i="1"/>
  <c r="D100" i="1"/>
  <c r="C100" i="1"/>
  <c r="D94" i="1"/>
  <c r="C94" i="1"/>
  <c r="T95" i="1" s="1"/>
  <c r="D99" i="1"/>
  <c r="C99" i="1"/>
  <c r="D98" i="1"/>
  <c r="C98" i="1"/>
  <c r="D90" i="1"/>
  <c r="C90" i="1"/>
  <c r="D91" i="1"/>
  <c r="C91" i="1"/>
  <c r="D93" i="1"/>
  <c r="C93" i="1"/>
  <c r="D92" i="1"/>
  <c r="C92" i="1"/>
  <c r="D96" i="1"/>
  <c r="C96" i="1"/>
  <c r="D95" i="1"/>
  <c r="C95" i="1"/>
  <c r="D97" i="1"/>
  <c r="C97" i="1"/>
  <c r="B101" i="1"/>
  <c r="G90" i="1"/>
  <c r="F90" i="1"/>
  <c r="K104" i="1"/>
  <c r="O93" i="1"/>
  <c r="O99" i="1"/>
  <c r="K110" i="1"/>
  <c r="K98" i="1"/>
  <c r="O87" i="1"/>
  <c r="O83" i="1"/>
  <c r="K94" i="1"/>
  <c r="O102" i="1"/>
  <c r="K113" i="1"/>
  <c r="K106" i="1"/>
  <c r="O95" i="1"/>
  <c r="K103" i="1"/>
  <c r="O92" i="1"/>
  <c r="K108" i="1"/>
  <c r="O97" i="1"/>
  <c r="O101" i="1"/>
  <c r="K112" i="1"/>
  <c r="O100" i="1"/>
  <c r="K111" i="1"/>
  <c r="F92" i="1"/>
  <c r="G92" i="1"/>
  <c r="F95" i="1"/>
  <c r="G95" i="1"/>
  <c r="G93" i="1"/>
  <c r="F93" i="1"/>
  <c r="F91" i="1"/>
  <c r="G91" i="1"/>
  <c r="F96" i="1"/>
  <c r="G96" i="1"/>
  <c r="F97" i="1"/>
  <c r="G97" i="1"/>
  <c r="F94" i="1"/>
  <c r="G94" i="1"/>
  <c r="F99" i="1"/>
  <c r="G99" i="1"/>
  <c r="F100" i="1"/>
  <c r="G100" i="1"/>
  <c r="F98" i="1"/>
  <c r="G98" i="1"/>
  <c r="B102" i="1"/>
  <c r="B110" i="1"/>
  <c r="B107" i="1"/>
  <c r="B106" i="1"/>
  <c r="B103" i="1"/>
  <c r="B111" i="1"/>
  <c r="B105" i="1"/>
  <c r="B104" i="1"/>
  <c r="B109" i="1"/>
  <c r="B108" i="1"/>
  <c r="B113" i="28" l="1"/>
  <c r="C102" i="28"/>
  <c r="G102" i="28"/>
  <c r="F102" i="28"/>
  <c r="D102" i="28"/>
  <c r="T100" i="28"/>
  <c r="T99" i="28"/>
  <c r="T93" i="28"/>
  <c r="T98" i="28"/>
  <c r="T97" i="28"/>
  <c r="B143" i="28"/>
  <c r="G132" i="28"/>
  <c r="F132" i="28"/>
  <c r="C132" i="28"/>
  <c r="D132" i="28"/>
  <c r="O112" i="28"/>
  <c r="K123" i="28"/>
  <c r="K133" i="28"/>
  <c r="O122" i="28"/>
  <c r="O114" i="28"/>
  <c r="K125" i="28"/>
  <c r="G116" i="28"/>
  <c r="F116" i="28"/>
  <c r="D116" i="28"/>
  <c r="C116" i="28"/>
  <c r="T117" i="28" s="1"/>
  <c r="B127" i="28"/>
  <c r="G109" i="28"/>
  <c r="F109" i="28"/>
  <c r="D109" i="28"/>
  <c r="C109" i="28"/>
  <c r="B120" i="28"/>
  <c r="B125" i="28"/>
  <c r="G114" i="28"/>
  <c r="F114" i="28"/>
  <c r="D114" i="28"/>
  <c r="C114" i="28"/>
  <c r="O105" i="28"/>
  <c r="K116" i="28"/>
  <c r="G104" i="28"/>
  <c r="F104" i="28"/>
  <c r="D104" i="28"/>
  <c r="C104" i="28"/>
  <c r="B115" i="28"/>
  <c r="O106" i="28"/>
  <c r="K117" i="28"/>
  <c r="B117" i="28"/>
  <c r="F106" i="28"/>
  <c r="G106" i="28"/>
  <c r="D106" i="28"/>
  <c r="C106" i="28"/>
  <c r="C118" i="28"/>
  <c r="B129" i="28"/>
  <c r="G118" i="28"/>
  <c r="F118" i="28"/>
  <c r="D118" i="28"/>
  <c r="O113" i="28"/>
  <c r="K124" i="28"/>
  <c r="B112" i="28"/>
  <c r="G101" i="28"/>
  <c r="F101" i="28"/>
  <c r="D101" i="28"/>
  <c r="C101" i="28"/>
  <c r="B130" i="28"/>
  <c r="G119" i="28"/>
  <c r="C119" i="28"/>
  <c r="F119" i="28"/>
  <c r="D119" i="28"/>
  <c r="B144" i="28"/>
  <c r="G133" i="28"/>
  <c r="F133" i="28"/>
  <c r="D133" i="28"/>
  <c r="C133" i="28"/>
  <c r="K121" i="28"/>
  <c r="O110" i="28"/>
  <c r="K126" i="28"/>
  <c r="O115" i="28"/>
  <c r="O120" i="28"/>
  <c r="K131" i="28"/>
  <c r="K119" i="28"/>
  <c r="O108" i="28"/>
  <c r="T93" i="1"/>
  <c r="T97" i="1"/>
  <c r="T98" i="1"/>
  <c r="T99" i="1"/>
  <c r="T100" i="1"/>
  <c r="D107" i="1"/>
  <c r="C107" i="1"/>
  <c r="D110" i="1"/>
  <c r="C110" i="1"/>
  <c r="D108" i="1"/>
  <c r="C108" i="1"/>
  <c r="D101" i="1"/>
  <c r="C101" i="1"/>
  <c r="D102" i="1"/>
  <c r="C102" i="1"/>
  <c r="D104" i="1"/>
  <c r="C104" i="1"/>
  <c r="D105" i="1"/>
  <c r="C105" i="1"/>
  <c r="T106" i="1" s="1"/>
  <c r="D103" i="1"/>
  <c r="C103" i="1"/>
  <c r="D109" i="1"/>
  <c r="C109" i="1"/>
  <c r="D111" i="1"/>
  <c r="C111" i="1"/>
  <c r="D106" i="1"/>
  <c r="C106" i="1"/>
  <c r="F101" i="1"/>
  <c r="B112" i="1"/>
  <c r="G101" i="1"/>
  <c r="K109" i="1"/>
  <c r="O98" i="1"/>
  <c r="O110" i="1"/>
  <c r="K121" i="1"/>
  <c r="K119" i="1"/>
  <c r="O108" i="1"/>
  <c r="K114" i="1"/>
  <c r="O103" i="1"/>
  <c r="O106" i="1"/>
  <c r="K117" i="1"/>
  <c r="O94" i="1"/>
  <c r="K105" i="1"/>
  <c r="O113" i="1"/>
  <c r="K124" i="1"/>
  <c r="O112" i="1"/>
  <c r="K123" i="1"/>
  <c r="K122" i="1"/>
  <c r="O111" i="1"/>
  <c r="O104" i="1"/>
  <c r="K115" i="1"/>
  <c r="G109" i="1"/>
  <c r="F109" i="1"/>
  <c r="F104" i="1"/>
  <c r="G104" i="1"/>
  <c r="F105" i="1"/>
  <c r="G105" i="1"/>
  <c r="F106" i="1"/>
  <c r="G106" i="1"/>
  <c r="F107" i="1"/>
  <c r="G107" i="1"/>
  <c r="F110" i="1"/>
  <c r="G110" i="1"/>
  <c r="F102" i="1"/>
  <c r="G102" i="1"/>
  <c r="F108" i="1"/>
  <c r="G108" i="1"/>
  <c r="F111" i="1"/>
  <c r="G111" i="1"/>
  <c r="F103" i="1"/>
  <c r="G103" i="1"/>
  <c r="B117" i="1"/>
  <c r="B122" i="1"/>
  <c r="B118" i="1"/>
  <c r="B114" i="1"/>
  <c r="B119" i="1"/>
  <c r="B121" i="1"/>
  <c r="B116" i="1"/>
  <c r="B120" i="1"/>
  <c r="B113" i="1"/>
  <c r="B115" i="1"/>
  <c r="B124" i="28" l="1"/>
  <c r="F113" i="28"/>
  <c r="D113" i="28"/>
  <c r="G113" i="28"/>
  <c r="C113" i="28"/>
  <c r="O125" i="28"/>
  <c r="K136" i="28"/>
  <c r="O136" i="28" s="1"/>
  <c r="G129" i="28"/>
  <c r="F129" i="28"/>
  <c r="D129" i="28"/>
  <c r="C129" i="28"/>
  <c r="B140" i="28"/>
  <c r="O133" i="28"/>
  <c r="K144" i="28"/>
  <c r="O144" i="28" s="1"/>
  <c r="T104" i="28"/>
  <c r="T109" i="28"/>
  <c r="T108" i="28"/>
  <c r="F117" i="28"/>
  <c r="D117" i="28"/>
  <c r="C117" i="28"/>
  <c r="B128" i="28"/>
  <c r="G117" i="28"/>
  <c r="O117" i="28"/>
  <c r="K128" i="28"/>
  <c r="K134" i="28"/>
  <c r="O134" i="28" s="1"/>
  <c r="O123" i="28"/>
  <c r="F144" i="28"/>
  <c r="D144" i="28"/>
  <c r="G144" i="28"/>
  <c r="C144" i="28"/>
  <c r="B136" i="28"/>
  <c r="F125" i="28"/>
  <c r="D125" i="28"/>
  <c r="G125" i="28"/>
  <c r="C125" i="28"/>
  <c r="O131" i="28"/>
  <c r="K142" i="28"/>
  <c r="O142" i="28" s="1"/>
  <c r="O126" i="28"/>
  <c r="K137" i="28"/>
  <c r="O137" i="28" s="1"/>
  <c r="G115" i="28"/>
  <c r="F115" i="28"/>
  <c r="D115" i="28"/>
  <c r="C115" i="28"/>
  <c r="B126" i="28"/>
  <c r="C143" i="28"/>
  <c r="G143" i="28"/>
  <c r="F143" i="28"/>
  <c r="D143" i="28"/>
  <c r="O119" i="28"/>
  <c r="K130" i="28"/>
  <c r="D112" i="28"/>
  <c r="C112" i="28"/>
  <c r="B123" i="28"/>
  <c r="G112" i="28"/>
  <c r="F112" i="28"/>
  <c r="T111" i="28"/>
  <c r="T110" i="28"/>
  <c r="G127" i="28"/>
  <c r="F127" i="28"/>
  <c r="D127" i="28"/>
  <c r="C127" i="28"/>
  <c r="T128" i="28" s="1"/>
  <c r="B138" i="28"/>
  <c r="D130" i="28"/>
  <c r="C130" i="28"/>
  <c r="B141" i="28"/>
  <c r="G130" i="28"/>
  <c r="F130" i="28"/>
  <c r="K132" i="28"/>
  <c r="O121" i="28"/>
  <c r="O124" i="28"/>
  <c r="K135" i="28"/>
  <c r="O135" i="28" s="1"/>
  <c r="B131" i="28"/>
  <c r="G120" i="28"/>
  <c r="F120" i="28"/>
  <c r="D120" i="28"/>
  <c r="C120" i="28"/>
  <c r="K127" i="28"/>
  <c r="O116" i="28"/>
  <c r="T104" i="1"/>
  <c r="T108" i="1"/>
  <c r="T109" i="1"/>
  <c r="T110" i="1"/>
  <c r="T111" i="1"/>
  <c r="D121" i="1"/>
  <c r="C121" i="1"/>
  <c r="D119" i="1"/>
  <c r="C119" i="1"/>
  <c r="D122" i="1"/>
  <c r="C122" i="1"/>
  <c r="D116" i="1"/>
  <c r="C116" i="1"/>
  <c r="T117" i="1" s="1"/>
  <c r="D118" i="1"/>
  <c r="C118" i="1"/>
  <c r="D115" i="1"/>
  <c r="C115" i="1"/>
  <c r="D114" i="1"/>
  <c r="C114" i="1"/>
  <c r="D117" i="1"/>
  <c r="C117" i="1"/>
  <c r="D112" i="1"/>
  <c r="C112" i="1"/>
  <c r="D113" i="1"/>
  <c r="C113" i="1"/>
  <c r="D120" i="1"/>
  <c r="C120" i="1"/>
  <c r="B123" i="1"/>
  <c r="B134" i="1" s="1"/>
  <c r="G112" i="1"/>
  <c r="F112" i="1"/>
  <c r="O121" i="1"/>
  <c r="K132" i="1"/>
  <c r="K134" i="1"/>
  <c r="O134" i="1" s="1"/>
  <c r="O123" i="1"/>
  <c r="K135" i="1"/>
  <c r="O135" i="1" s="1"/>
  <c r="O124" i="1"/>
  <c r="O105" i="1"/>
  <c r="K116" i="1"/>
  <c r="O117" i="1"/>
  <c r="K128" i="1"/>
  <c r="O114" i="1"/>
  <c r="K125" i="1"/>
  <c r="K126" i="1"/>
  <c r="O115" i="1"/>
  <c r="O119" i="1"/>
  <c r="K130" i="1"/>
  <c r="O122" i="1"/>
  <c r="K133" i="1"/>
  <c r="O109" i="1"/>
  <c r="K120" i="1"/>
  <c r="F115" i="1"/>
  <c r="G115" i="1"/>
  <c r="F121" i="1"/>
  <c r="G121" i="1"/>
  <c r="F119" i="1"/>
  <c r="G119" i="1"/>
  <c r="F116" i="1"/>
  <c r="G116" i="1"/>
  <c r="F113" i="1"/>
  <c r="G113" i="1"/>
  <c r="F122" i="1"/>
  <c r="G122" i="1"/>
  <c r="G117" i="1"/>
  <c r="F117" i="1"/>
  <c r="F120" i="1"/>
  <c r="G120" i="1"/>
  <c r="F114" i="1"/>
  <c r="G114" i="1"/>
  <c r="F118" i="1"/>
  <c r="G118" i="1"/>
  <c r="B131" i="1"/>
  <c r="B132" i="1"/>
  <c r="B130" i="1"/>
  <c r="B133" i="1"/>
  <c r="B127" i="1"/>
  <c r="B125" i="1"/>
  <c r="B129" i="1"/>
  <c r="B126" i="1"/>
  <c r="B124" i="1"/>
  <c r="B128" i="1"/>
  <c r="F124" i="28" l="1"/>
  <c r="D124" i="28"/>
  <c r="C124" i="28"/>
  <c r="B135" i="28"/>
  <c r="G124" i="28"/>
  <c r="O132" i="28"/>
  <c r="K143" i="28"/>
  <c r="O143" i="28" s="1"/>
  <c r="O130" i="28"/>
  <c r="K141" i="28"/>
  <c r="O141" i="28" s="1"/>
  <c r="G138" i="28"/>
  <c r="C138" i="28"/>
  <c r="T139" i="28" s="1"/>
  <c r="F138" i="28"/>
  <c r="D138" i="28"/>
  <c r="G141" i="28"/>
  <c r="F141" i="28"/>
  <c r="D141" i="28"/>
  <c r="C141" i="28"/>
  <c r="K138" i="28"/>
  <c r="O138" i="28" s="1"/>
  <c r="O127" i="28"/>
  <c r="G123" i="28"/>
  <c r="F123" i="28"/>
  <c r="D123" i="28"/>
  <c r="C123" i="28"/>
  <c r="B134" i="28"/>
  <c r="T122" i="28"/>
  <c r="T121" i="28"/>
  <c r="G140" i="28"/>
  <c r="F140" i="28"/>
  <c r="D140" i="28"/>
  <c r="C140" i="28"/>
  <c r="G128" i="28"/>
  <c r="F128" i="28"/>
  <c r="D128" i="28"/>
  <c r="C128" i="28"/>
  <c r="B139" i="28"/>
  <c r="T115" i="28"/>
  <c r="T119" i="28"/>
  <c r="T120" i="28"/>
  <c r="B142" i="28"/>
  <c r="F131" i="28"/>
  <c r="D131" i="28"/>
  <c r="C131" i="28"/>
  <c r="G131" i="28"/>
  <c r="K139" i="28"/>
  <c r="O139" i="28" s="1"/>
  <c r="O128" i="28"/>
  <c r="F136" i="28"/>
  <c r="D136" i="28"/>
  <c r="C136" i="28"/>
  <c r="G136" i="28"/>
  <c r="B137" i="28"/>
  <c r="G126" i="28"/>
  <c r="C126" i="28"/>
  <c r="F126" i="28"/>
  <c r="D126" i="28"/>
  <c r="T119" i="1"/>
  <c r="T120" i="1"/>
  <c r="T115" i="1"/>
  <c r="T121" i="1"/>
  <c r="T122" i="1"/>
  <c r="D130" i="1"/>
  <c r="C130" i="1"/>
  <c r="D133" i="1"/>
  <c r="C133" i="1"/>
  <c r="D134" i="1"/>
  <c r="C134" i="1"/>
  <c r="D132" i="1"/>
  <c r="C132" i="1"/>
  <c r="D131" i="1"/>
  <c r="C131" i="1"/>
  <c r="D123" i="1"/>
  <c r="C123" i="1"/>
  <c r="D128" i="1"/>
  <c r="C128" i="1"/>
  <c r="D124" i="1"/>
  <c r="C124" i="1"/>
  <c r="F123" i="1"/>
  <c r="D126" i="1"/>
  <c r="C126" i="1"/>
  <c r="G123" i="1"/>
  <c r="D129" i="1"/>
  <c r="C129" i="1"/>
  <c r="D125" i="1"/>
  <c r="C125" i="1"/>
  <c r="D127" i="1"/>
  <c r="C127" i="1"/>
  <c r="T128" i="1" s="1"/>
  <c r="O130" i="1"/>
  <c r="K141" i="1"/>
  <c r="O141" i="1" s="1"/>
  <c r="O126" i="1"/>
  <c r="K137" i="1"/>
  <c r="O137" i="1" s="1"/>
  <c r="O125" i="1"/>
  <c r="K136" i="1"/>
  <c r="O136" i="1" s="1"/>
  <c r="K139" i="1"/>
  <c r="O139" i="1" s="1"/>
  <c r="O128" i="1"/>
  <c r="O116" i="1"/>
  <c r="K127" i="1"/>
  <c r="O120" i="1"/>
  <c r="K131" i="1"/>
  <c r="K144" i="1"/>
  <c r="O144" i="1" s="1"/>
  <c r="O133" i="1"/>
  <c r="K143" i="1"/>
  <c r="O143" i="1" s="1"/>
  <c r="O132" i="1"/>
  <c r="F124" i="1"/>
  <c r="G124" i="1"/>
  <c r="F129" i="1"/>
  <c r="G129" i="1"/>
  <c r="F126" i="1"/>
  <c r="G126" i="1"/>
  <c r="F127" i="1"/>
  <c r="G127" i="1"/>
  <c r="G133" i="1"/>
  <c r="F133" i="1"/>
  <c r="F128" i="1"/>
  <c r="G128" i="1"/>
  <c r="F134" i="1"/>
  <c r="G134" i="1"/>
  <c r="G125" i="1"/>
  <c r="F125" i="1"/>
  <c r="F130" i="1"/>
  <c r="G130" i="1"/>
  <c r="F132" i="1"/>
  <c r="G132" i="1"/>
  <c r="F131" i="1"/>
  <c r="G131" i="1"/>
  <c r="B142" i="1"/>
  <c r="B140" i="1"/>
  <c r="B138" i="1"/>
  <c r="B137" i="1"/>
  <c r="B144" i="1"/>
  <c r="B136" i="1"/>
  <c r="B141" i="1"/>
  <c r="B139" i="1"/>
  <c r="B135" i="1"/>
  <c r="B143" i="1"/>
  <c r="D135" i="28" l="1"/>
  <c r="C135" i="28"/>
  <c r="G135" i="28"/>
  <c r="F135" i="28"/>
  <c r="D137" i="28"/>
  <c r="C137" i="28"/>
  <c r="G137" i="28"/>
  <c r="F137" i="28"/>
  <c r="G134" i="28"/>
  <c r="F134" i="28"/>
  <c r="D134" i="28"/>
  <c r="C134" i="28"/>
  <c r="G139" i="28"/>
  <c r="F139" i="28"/>
  <c r="D139" i="28"/>
  <c r="C139" i="28"/>
  <c r="F142" i="28"/>
  <c r="D142" i="28"/>
  <c r="C142" i="28"/>
  <c r="G142" i="28"/>
  <c r="T130" i="28"/>
  <c r="T131" i="28"/>
  <c r="T126" i="28"/>
  <c r="T132" i="28"/>
  <c r="T133" i="28"/>
  <c r="T133" i="1"/>
  <c r="T132" i="1"/>
  <c r="T126" i="1"/>
  <c r="T130" i="1"/>
  <c r="T131" i="1"/>
  <c r="D139" i="1"/>
  <c r="C139" i="1"/>
  <c r="D143" i="1"/>
  <c r="C143" i="1"/>
  <c r="D135" i="1"/>
  <c r="C135" i="1"/>
  <c r="D141" i="1"/>
  <c r="C141" i="1"/>
  <c r="D137" i="1"/>
  <c r="C137" i="1"/>
  <c r="D142" i="1"/>
  <c r="C142" i="1"/>
  <c r="D136" i="1"/>
  <c r="C136" i="1"/>
  <c r="T137" i="1" s="1"/>
  <c r="D138" i="1"/>
  <c r="C138" i="1"/>
  <c r="T139" i="1" s="1"/>
  <c r="D140" i="1"/>
  <c r="C140" i="1"/>
  <c r="D144" i="1"/>
  <c r="C144" i="1"/>
  <c r="K142" i="1"/>
  <c r="O142" i="1" s="1"/>
  <c r="O131" i="1"/>
  <c r="K138" i="1"/>
  <c r="O138" i="1" s="1"/>
  <c r="O127" i="1"/>
  <c r="F143" i="1"/>
  <c r="G143" i="1"/>
  <c r="F144" i="1"/>
  <c r="G144" i="1"/>
  <c r="F137" i="1"/>
  <c r="G137" i="1"/>
  <c r="F139" i="1"/>
  <c r="G139" i="1"/>
  <c r="F135" i="1"/>
  <c r="G135" i="1"/>
  <c r="G141" i="1"/>
  <c r="F141" i="1"/>
  <c r="F138" i="1"/>
  <c r="G138" i="1"/>
  <c r="F142" i="1"/>
  <c r="G142" i="1"/>
  <c r="F136" i="1"/>
  <c r="G136" i="1"/>
  <c r="F140" i="1"/>
  <c r="G140" i="1"/>
  <c r="T141" i="1" l="1"/>
  <c r="T144" i="28"/>
  <c r="T143" i="28"/>
  <c r="T137" i="28"/>
  <c r="T142" i="28"/>
  <c r="T141" i="28"/>
  <c r="T142" i="1"/>
  <c r="T143" i="1"/>
  <c r="T144" i="1"/>
</calcChain>
</file>

<file path=xl/sharedStrings.xml><?xml version="1.0" encoding="utf-8"?>
<sst xmlns="http://schemas.openxmlformats.org/spreadsheetml/2006/main" count="178" uniqueCount="42">
  <si>
    <t>name</t>
  </si>
  <si>
    <t>description</t>
  </si>
  <si>
    <t>relevant</t>
  </si>
  <si>
    <t>IN</t>
  </si>
  <si>
    <t>req/s</t>
  </si>
  <si>
    <t>CTRL</t>
  </si>
  <si>
    <t>OUT</t>
  </si>
  <si>
    <t>req</t>
  </si>
  <si>
    <t>dm</t>
  </si>
  <si>
    <t>uniform</t>
  </si>
  <si>
    <t>kB/req</t>
  </si>
  <si>
    <t>bit/req</t>
  </si>
  <si>
    <t>_idx</t>
  </si>
  <si>
    <t>_sym</t>
  </si>
  <si>
    <t>_alias</t>
  </si>
  <si>
    <t>_fwk</t>
  </si>
  <si>
    <t>_cat</t>
  </si>
  <si>
    <t>_dims</t>
  </si>
  <si>
    <t>_units</t>
  </si>
  <si>
    <t>_min</t>
  </si>
  <si>
    <t>_max</t>
  </si>
  <si>
    <t>_mean</t>
  </si>
  <si>
    <t>_std_units</t>
  </si>
  <si>
    <t>_std_min</t>
  </si>
  <si>
    <t>_std_max</t>
  </si>
  <si>
    <t>_std_mean</t>
  </si>
  <si>
    <t>_dist_type</t>
  </si>
  <si>
    <t>_dist_params</t>
  </si>
  <si>
    <t>T</t>
  </si>
  <si>
    <t>s</t>
  </si>
  <si>
    <t>n.a.</t>
  </si>
  <si>
    <t>_depends</t>
  </si>
  <si>
    <t>uniform_int</t>
  </si>
  <si>
    <t>shifted_uniform_int</t>
  </si>
  <si>
    <t>queue_time</t>
  </si>
  <si>
    <t>queue_length</t>
  </si>
  <si>
    <t>adjusted_rate</t>
  </si>
  <si>
    <t>CUSTOM</t>
  </si>
  <si>
    <t>E*T^-1</t>
  </si>
  <si>
    <t>E</t>
  </si>
  <si>
    <t>D*E^-1</t>
  </si>
  <si>
    <t>adjusted_uniform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</si>
</sst>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6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8B-461B-BFBB-751AE45E76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8B-461B-BFBB-751AE45E7611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19C-4A67-867D-F08EE1DB8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514349</xdr:colOff>
      <xdr:row>1</xdr:row>
      <xdr:rowOff>0</xdr:rowOff>
    </xdr:from>
    <xdr:to>
      <xdr:col>7</xdr:col>
      <xdr:colOff>628649</xdr:colOff>
      <xdr:row>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D6E91E-3400-6C0F-4567-82BE282300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779A18-6B29-4DFE-86A0-3F8F27AE11B5}" name="Table1" displayName="Table1" ref="A1:U144" totalsRowShown="0" headerRowDxfId="45" dataDxfId="44">
  <autoFilter ref="A1:U144" xr:uid="{00779A18-6B29-4DFE-86A0-3F8F27AE11B5}"/>
  <tableColumns count="21">
    <tableColumn id="1" xr3:uid="{D4736AB9-B625-46BB-8450-90A78651DB74}" name="_idx" dataDxfId="43"/>
    <tableColumn id="2" xr3:uid="{57B02955-84ED-43C2-9050-83315840EE61}" name="dm" dataDxfId="42"/>
    <tableColumn id="3" xr3:uid="{94800A5C-6B37-4055-946D-D0D09875D730}" name="_sym" dataDxfId="41"/>
    <tableColumn id="4" xr3:uid="{AA22D112-29A2-4A6D-A9EA-C97DCE3D6213}" name="_alias" dataDxfId="40">
      <calculatedColumnFormula>_xlfn.CONCAT("lambda_tas_", Table1[[#This Row],[dm]])</calculatedColumnFormula>
    </tableColumn>
    <tableColumn id="5" xr3:uid="{38B1CC33-FB88-4CE3-BF7C-5835696B216A}" name="_fwk" dataDxfId="39"/>
    <tableColumn id="6" xr3:uid="{BB870EB7-B325-473A-85A9-78BEEABC2AB4}" name="name" dataDxfId="38"/>
    <tableColumn id="7" xr3:uid="{8A0C40DF-C757-43E6-9C5D-AD93E056E738}" name="description" dataDxfId="37"/>
    <tableColumn id="8" xr3:uid="{6C54E7CB-2744-4933-AE1F-20B2E9B3C4CB}" name="relevant" dataDxfId="36"/>
    <tableColumn id="9" xr3:uid="{A1FAE8DA-AD48-476D-AD7F-9B22A387B8CD}" name="_cat" dataDxfId="35"/>
    <tableColumn id="11" xr3:uid="{75955A00-9C24-4F7C-9544-0BB53EB49E6F}" name="_dims" dataDxfId="34"/>
    <tableColumn id="10" xr3:uid="{21B8938E-F128-4D82-8449-6839F35D8576}" name="_units" dataDxfId="33"/>
    <tableColumn id="12" xr3:uid="{B2D21467-EAEF-466D-AC27-74D823FCD775}" name="_min" dataDxfId="32"/>
    <tableColumn id="13" xr3:uid="{45F223B2-B242-43AC-BE09-0CBE9E2CC3B2}" name="_max" dataDxfId="31"/>
    <tableColumn id="14" xr3:uid="{C13AD127-3F9A-44BC-A2F3-D4671045828D}" name="_mean" dataDxfId="30"/>
    <tableColumn id="15" xr3:uid="{8C04B261-792E-4EB6-A253-74DE1709C591}" name="_std_units" dataDxfId="29">
      <calculatedColumnFormula>Table1[[#This Row],[_units]]</calculatedColumnFormula>
    </tableColumn>
    <tableColumn id="16" xr3:uid="{15E76D01-467D-4868-B8DC-E75022C2CA75}" name="_std_min" dataDxfId="28">
      <calculatedColumnFormula>Table1[[#This Row],[_min]]*1024000</calculatedColumnFormula>
    </tableColumn>
    <tableColumn id="17" xr3:uid="{6811C172-5351-48A6-9EEF-3DB47ECAA99B}" name="_std_max" dataDxfId="27">
      <calculatedColumnFormula>Table1[[#This Row],[_max]]</calculatedColumnFormula>
    </tableColumn>
    <tableColumn id="18" xr3:uid="{DFBF67C9-AE09-412C-BEA7-1949852BC694}" name="_std_mean" dataDxfId="26">
      <calculatedColumnFormula>Table1[[#This Row],[_mean]]</calculatedColumnFormula>
    </tableColumn>
    <tableColumn id="19" xr3:uid="{733D523E-5881-4E29-BCF9-4A5022F874AB}" name="_dist_type" dataDxfId="25"/>
    <tableColumn id="21" xr3:uid="{04715694-390E-4375-AA9A-7BED2789FE82}" name="_depends" dataDxfId="24">
      <calculatedColumnFormula>_xlfn.CONCAT("[","]")</calculatedColumnFormula>
    </tableColumn>
    <tableColumn id="20" xr3:uid="{778C4332-7292-4634-BBE1-54886DA144B7}" name="_dist_params" dataDxfId="23">
      <calculatedColumnFormula>_xlfn.CONCAT("{'scale': 1/",Table1[[#This Row],[_std_mean]],"}")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1AB439-E42B-4C85-B83E-AE457A5C7658}" name="Table14" displayName="Table14" ref="A1:U144" totalsRowShown="0" headerRowDxfId="22" dataDxfId="21">
  <autoFilter ref="A1:U144" xr:uid="{00779A18-6B29-4DFE-86A0-3F8F27AE11B5}"/>
  <tableColumns count="21">
    <tableColumn id="1" xr3:uid="{303007C1-E506-4A0D-9B16-07090C0A1024}" name="_idx" dataDxfId="20"/>
    <tableColumn id="2" xr3:uid="{0C2BEE68-5827-485C-995B-FD18C420D5C1}" name="dm" dataDxfId="19"/>
    <tableColumn id="3" xr3:uid="{E0275B44-9A3A-45EB-97A7-72967E558F91}" name="_sym" dataDxfId="18"/>
    <tableColumn id="4" xr3:uid="{6E828811-3CB3-4828-9F34-2D40A8409BBC}" name="_alias" dataDxfId="17">
      <calculatedColumnFormula>_xlfn.CONCAT("lambda_tas_", Table14[[#This Row],[dm]])</calculatedColumnFormula>
    </tableColumn>
    <tableColumn id="5" xr3:uid="{699DA952-5A24-4BFA-8B9A-B5EA9A3F0988}" name="_fwk" dataDxfId="16"/>
    <tableColumn id="6" xr3:uid="{CD4F1BD4-D65E-4923-B75A-B45831F27643}" name="name" dataDxfId="15"/>
    <tableColumn id="7" xr3:uid="{DFFA01C9-5E99-4DB3-9AA9-81F048723CFA}" name="description" dataDxfId="14"/>
    <tableColumn id="8" xr3:uid="{E166247D-44D3-48D9-BF68-361690FBF6E5}" name="relevant" dataDxfId="13"/>
    <tableColumn id="9" xr3:uid="{E92D251D-34EC-4EB3-9882-09475227F678}" name="_cat" dataDxfId="12"/>
    <tableColumn id="11" xr3:uid="{8283AB0E-738E-4957-8A1F-CE0794FE873A}" name="_dims" dataDxfId="11"/>
    <tableColumn id="10" xr3:uid="{D78F407B-A8E5-4885-97E3-507349D091EC}" name="_units" dataDxfId="10"/>
    <tableColumn id="12" xr3:uid="{524019CD-2A8C-4269-99DC-7B94F7D4684C}" name="_min" dataDxfId="9"/>
    <tableColumn id="13" xr3:uid="{8DBE3272-D8B9-4CCB-991C-E927DBCAB96E}" name="_max" dataDxfId="8"/>
    <tableColumn id="14" xr3:uid="{1645848F-82D6-4142-B692-B450CB5939E0}" name="_mean" dataDxfId="7"/>
    <tableColumn id="15" xr3:uid="{E7B0C3C4-6F5C-45C4-89CE-D759E5436534}" name="_std_units" dataDxfId="6">
      <calculatedColumnFormula>Table14[[#This Row],[_units]]</calculatedColumnFormula>
    </tableColumn>
    <tableColumn id="16" xr3:uid="{024EA9F5-96B8-4831-B110-58E99B2C47C7}" name="_std_min" dataDxfId="5">
      <calculatedColumnFormula>Table14[[#This Row],[_min]]*1024000</calculatedColumnFormula>
    </tableColumn>
    <tableColumn id="17" xr3:uid="{F04F6839-7D9B-42D5-BD5A-1DDB6B82ECBD}" name="_std_max" dataDxfId="4">
      <calculatedColumnFormula>Table14[[#This Row],[_max]]</calculatedColumnFormula>
    </tableColumn>
    <tableColumn id="18" xr3:uid="{EA879165-F79B-426D-B280-983F1BBC6268}" name="_std_mean" dataDxfId="3">
      <calculatedColumnFormula>Table14[[#This Row],[_mean]]</calculatedColumnFormula>
    </tableColumn>
    <tableColumn id="19" xr3:uid="{5BE0011A-439C-43E2-BE79-F87A8C253B24}" name="_dist_type" dataDxfId="2"/>
    <tableColumn id="21" xr3:uid="{0CAB22A8-864F-470C-B451-8B211A41203C}" name="_depends" dataDxfId="1">
      <calculatedColumnFormula>_xlfn.CONCAT("[","]")</calculatedColumnFormula>
    </tableColumn>
    <tableColumn id="20" xr3:uid="{4F74501F-F35D-45A9-8FA0-3680D81E78FF}" name="_dist_params" dataDxfId="0">
      <calculatedColumnFormula>_xlfn.CONCAT("{'scale': 1/",Table14[[#This Row],[_std_mean]],"}")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6502A-99CF-4E00-ADA3-948A4441900C}">
  <dimension ref="A1:U144"/>
  <sheetViews>
    <sheetView tabSelected="1" zoomScale="115" zoomScaleNormal="115" workbookViewId="0">
      <pane xSplit="3" ySplit="1" topLeftCell="M113" activePane="bottomRight" state="frozen"/>
      <selection pane="topRight" activeCell="D1" sqref="D1"/>
      <selection pane="bottomLeft" activeCell="A2" sqref="A2"/>
      <selection pane="bottomRight" activeCell="A2" sqref="A2:U144"/>
    </sheetView>
  </sheetViews>
  <sheetFormatPr defaultRowHeight="14.35" x14ac:dyDescent="0.5"/>
  <cols>
    <col min="1" max="1" width="8.234375" style="1" bestFit="1" customWidth="1"/>
    <col min="2" max="2" width="7.703125" style="1" bestFit="1" customWidth="1"/>
    <col min="3" max="3" width="11.1171875" style="1" bestFit="1" customWidth="1"/>
    <col min="4" max="4" width="12.703125" style="1" bestFit="1" customWidth="1"/>
    <col min="5" max="5" width="9.52734375" style="1" bestFit="1" customWidth="1"/>
    <col min="6" max="6" width="27.05859375" style="1" bestFit="1" customWidth="1"/>
    <col min="7" max="7" width="48.46875" style="1" bestFit="1" customWidth="1"/>
    <col min="8" max="8" width="11.76171875" style="1" bestFit="1" customWidth="1"/>
    <col min="9" max="9" width="7.64453125" style="1" bestFit="1" customWidth="1"/>
    <col min="10" max="10" width="9.05859375" style="1" bestFit="1" customWidth="1"/>
    <col min="11" max="11" width="9.1171875" style="1" bestFit="1" customWidth="1"/>
    <col min="12" max="12" width="8.9375" style="1" bestFit="1" customWidth="1"/>
    <col min="13" max="13" width="11.29296875" style="1" bestFit="1" customWidth="1"/>
    <col min="14" max="14" width="11.76171875" style="1" bestFit="1" customWidth="1"/>
    <col min="15" max="15" width="12.41015625" style="1" bestFit="1" customWidth="1"/>
    <col min="16" max="16" width="11.46875" style="1" bestFit="1" customWidth="1"/>
    <col min="17" max="17" width="11.8203125" style="1" bestFit="1" customWidth="1"/>
    <col min="18" max="18" width="12.9375" style="1" bestFit="1" customWidth="1"/>
    <col min="19" max="19" width="15.87890625" style="1" bestFit="1" customWidth="1"/>
    <col min="20" max="20" width="36" style="1" bestFit="1" customWidth="1"/>
    <col min="21" max="21" width="32.76171875" style="1" bestFit="1" customWidth="1"/>
  </cols>
  <sheetData>
    <row r="1" spans="1:21" x14ac:dyDescent="0.5">
      <c r="A1" s="1" t="s">
        <v>12</v>
      </c>
      <c r="B1" s="1" t="s">
        <v>8</v>
      </c>
      <c r="C1" s="1" t="s">
        <v>13</v>
      </c>
      <c r="D1" s="1" t="s">
        <v>14</v>
      </c>
      <c r="E1" s="1" t="s">
        <v>15</v>
      </c>
      <c r="F1" s="1" t="s">
        <v>0</v>
      </c>
      <c r="G1" s="1" t="s">
        <v>1</v>
      </c>
      <c r="H1" s="1" t="s">
        <v>2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31</v>
      </c>
      <c r="U1" s="1" t="s">
        <v>27</v>
      </c>
    </row>
    <row r="2" spans="1:21" x14ac:dyDescent="0.5">
      <c r="A2" s="1">
        <v>1</v>
      </c>
      <c r="B2" s="1">
        <v>1</v>
      </c>
      <c r="C2" s="1" t="str">
        <f>_xlfn.CONCAT("\lambda_{", Table1[[#This Row],[dm]],"}")</f>
        <v>\lambda_{1}</v>
      </c>
      <c r="D2" s="1" t="str">
        <f>_xlfn.CONCAT("lambda_tas_", Table1[[#This Row],[dm]])</f>
        <v>lambda_tas_1</v>
      </c>
      <c r="E2" s="1" t="s">
        <v>37</v>
      </c>
      <c r="F2" s="1" t="str">
        <f>_xlfn.CONCAT("TAS ", Table1[[#This Row],[dm]], " arrival rate")</f>
        <v>TAS 1 arrival rate</v>
      </c>
      <c r="G2" s="1" t="str">
        <f>_xlfn.CONCAT("Arrival rate for TAS ",Table1[[#This Row],[dm]])</f>
        <v>Arrival rate for TAS 1</v>
      </c>
      <c r="H2" s="1" t="b">
        <v>1</v>
      </c>
      <c r="I2" s="1" t="s">
        <v>3</v>
      </c>
      <c r="J2" s="1" t="s">
        <v>38</v>
      </c>
      <c r="K2" s="1" t="s">
        <v>4</v>
      </c>
      <c r="L2" s="1">
        <f>0.1*345</f>
        <v>34.5</v>
      </c>
      <c r="M2" s="6">
        <f>1.9*345</f>
        <v>655.5</v>
      </c>
      <c r="N2" s="1">
        <f>AVERAGE(Table1[[#This Row],[_min]:[_max]])</f>
        <v>345</v>
      </c>
      <c r="O2" s="1" t="str">
        <f>Table1[[#This Row],[_units]]</f>
        <v>req/s</v>
      </c>
      <c r="P2" s="1">
        <f>Table1[[#This Row],[_min]]</f>
        <v>34.5</v>
      </c>
      <c r="Q2" s="1">
        <f>Table1[[#This Row],[_max]]</f>
        <v>655.5</v>
      </c>
      <c r="R2" s="1">
        <f>Table1[[#This Row],[_mean]]</f>
        <v>345</v>
      </c>
      <c r="S2" s="1" t="s">
        <v>9</v>
      </c>
      <c r="T2" s="1" t="str">
        <f t="shared" ref="T2:T140" si="0">_xlfn.CONCAT("[","]")</f>
        <v>[]</v>
      </c>
      <c r="U2" s="1" t="str">
        <f>_xlfn.CONCAT("{'low': ", Table1[[#This Row],[_std_min]], ", 'high': ",Table1[[#This Row],[_std_max]],"}")</f>
        <v>{'low': 34.5, 'high': 655.5}</v>
      </c>
    </row>
    <row r="3" spans="1:21" x14ac:dyDescent="0.5">
      <c r="A3" s="1">
        <v>2</v>
      </c>
      <c r="B3" s="1">
        <v>1</v>
      </c>
      <c r="C3" s="1" t="str">
        <f>_xlfn.CONCAT("\mu_{",Table1[[#This Row],[dm]], "}")</f>
        <v>\mu_{1}</v>
      </c>
      <c r="D3" s="1" t="str">
        <f>_xlfn.CONCAT("mu_tas_", Table1[[#This Row],[dm]])</f>
        <v>mu_tas_1</v>
      </c>
      <c r="E3" s="1" t="s">
        <v>37</v>
      </c>
      <c r="F3" s="1" t="str">
        <f>_xlfn.CONCAT("TAS ", Table1[[#This Row],[dm]], " service rate")</f>
        <v>TAS 1 service rate</v>
      </c>
      <c r="G3" s="1" t="str">
        <f>_xlfn.CONCAT("Service rate for TAS ",Table1[[#This Row],[dm]])</f>
        <v>Service rate for TAS 1</v>
      </c>
      <c r="H3" s="1" t="b">
        <v>1</v>
      </c>
      <c r="I3" s="1" t="s">
        <v>5</v>
      </c>
      <c r="J3" s="1" t="s">
        <v>38</v>
      </c>
      <c r="K3" s="1" t="s">
        <v>4</v>
      </c>
      <c r="L3" s="1">
        <f>0.1*900</f>
        <v>90</v>
      </c>
      <c r="M3" s="4">
        <f>1.9*900</f>
        <v>1710</v>
      </c>
      <c r="N3" s="4">
        <f>AVERAGE(Table1[[#This Row],[_min]:[_max]])</f>
        <v>900</v>
      </c>
      <c r="O3" s="1" t="str">
        <f>Table1[[#This Row],[_units]]</f>
        <v>req/s</v>
      </c>
      <c r="P3" s="1">
        <f>Table1[[#This Row],[_min]]</f>
        <v>90</v>
      </c>
      <c r="Q3" s="1">
        <f>Table1[[#This Row],[_max]]</f>
        <v>1710</v>
      </c>
      <c r="R3" s="4">
        <f>Table1[[#This Row],[_mean]]</f>
        <v>900</v>
      </c>
      <c r="S3" s="1" t="s">
        <v>9</v>
      </c>
      <c r="T3" s="1" t="str">
        <f t="shared" si="0"/>
        <v>[]</v>
      </c>
      <c r="U3" s="1" t="str">
        <f>_xlfn.CONCAT("{'low': ", Table1[[#This Row],[_std_min]], ", 'high': ",Table1[[#This Row],[_std_max]],"}")</f>
        <v>{'low': 90, 'high': 1710}</v>
      </c>
    </row>
    <row r="4" spans="1:21" x14ac:dyDescent="0.5">
      <c r="A4" s="1">
        <v>3</v>
      </c>
      <c r="B4" s="1">
        <v>1</v>
      </c>
      <c r="C4" s="1" t="str">
        <f>_xlfn.CONCAT("err_{",Table1[[#This Row],[dm]], "}")</f>
        <v>err_{1}</v>
      </c>
      <c r="D4" s="1" t="str">
        <f>_xlfn.CONCAT("err_tas_", Table1[[#This Row],[dm]])</f>
        <v>err_tas_1</v>
      </c>
      <c r="E4" s="1" t="s">
        <v>37</v>
      </c>
      <c r="F4" s="1" t="str">
        <f>_xlfn.CONCAT("TAS ", Table1[[#This Row],[dm]], " error probability")</f>
        <v>TAS 1 error probability</v>
      </c>
      <c r="G4" s="1" t="str">
        <f>_xlfn.CONCAT("Service error probability for TAS ",Table1[[#This Row],[dm]])</f>
        <v>Service error probability for TAS 1</v>
      </c>
      <c r="H4" s="1" t="b">
        <v>0</v>
      </c>
      <c r="I4" s="1" t="s">
        <v>5</v>
      </c>
      <c r="J4" s="1" t="s">
        <v>38</v>
      </c>
      <c r="K4" s="1" t="s">
        <v>30</v>
      </c>
      <c r="L4" s="3">
        <v>0</v>
      </c>
      <c r="M4" s="3">
        <v>0</v>
      </c>
      <c r="N4" s="3">
        <f>AVERAGE(Table1[[#This Row],[_min]:[_max]])</f>
        <v>0</v>
      </c>
      <c r="O4" s="1" t="str">
        <f>Table1[[#This Row],[_units]]</f>
        <v>n.a.</v>
      </c>
      <c r="P4" s="2">
        <f>Table1[[#This Row],[_min]]</f>
        <v>0</v>
      </c>
      <c r="Q4" s="2">
        <f>Table1[[#This Row],[_max]]</f>
        <v>0</v>
      </c>
      <c r="R4" s="2">
        <f>Table1[[#This Row],[_mean]]</f>
        <v>0</v>
      </c>
      <c r="S4" s="1" t="s">
        <v>41</v>
      </c>
      <c r="T4" s="1" t="str">
        <f t="shared" si="0"/>
        <v>[]</v>
      </c>
      <c r="U4" s="1" t="str">
        <f>_xlfn.CONCAT("{'constant': ",Table1[[#This Row],[_std_max]],"}")</f>
        <v>{'constant': 0}</v>
      </c>
    </row>
    <row r="5" spans="1:21" x14ac:dyDescent="0.5">
      <c r="A5" s="1">
        <v>4</v>
      </c>
      <c r="B5" s="1">
        <v>1</v>
      </c>
      <c r="C5" s="1" t="str">
        <f>_xlfn.CONCAT("\chi_{",Table1[[#This Row],[dm]], "}")</f>
        <v>\chi_{1}</v>
      </c>
      <c r="D5" s="1" t="str">
        <f>_xlfn.CONCAT("chi_tas_", Table1[[#This Row],[dm]])</f>
        <v>chi_tas_1</v>
      </c>
      <c r="E5" s="1" t="s">
        <v>37</v>
      </c>
      <c r="F5" s="1" t="str">
        <f>_xlfn.CONCAT("TAS ", Table1[[#This Row],[dm]], " departure rate")</f>
        <v>TAS 1 departure rate</v>
      </c>
      <c r="G5" s="1" t="str">
        <f>_xlfn.CONCAT("Departure rate for TAS ",Table1[[#This Row],[dm]])</f>
        <v>Departure rate for TAS 1</v>
      </c>
      <c r="H5" s="1" t="b">
        <v>1</v>
      </c>
      <c r="I5" s="1" t="s">
        <v>5</v>
      </c>
      <c r="J5" s="1" t="s">
        <v>38</v>
      </c>
      <c r="K5" s="1" t="s">
        <v>4</v>
      </c>
      <c r="L5" s="1">
        <f>0.1*345</f>
        <v>34.5</v>
      </c>
      <c r="M5" s="6">
        <f>1.9*345</f>
        <v>655.5</v>
      </c>
      <c r="N5" s="1">
        <f>AVERAGE(Table1[[#This Row],[_min]:[_max]])</f>
        <v>345</v>
      </c>
      <c r="O5" s="1" t="str">
        <f>Table1[[#This Row],[_units]]</f>
        <v>req/s</v>
      </c>
      <c r="P5" s="1">
        <f>Table1[[#This Row],[_min]]</f>
        <v>34.5</v>
      </c>
      <c r="Q5" s="1">
        <f>Table1[[#This Row],[_max]]</f>
        <v>655.5</v>
      </c>
      <c r="R5" s="1">
        <f>Table1[[#This Row],[_mean]]</f>
        <v>345</v>
      </c>
      <c r="S5" s="1" t="s">
        <v>36</v>
      </c>
      <c r="T5" s="1" t="str">
        <f>_xlfn.CONCAT("['", C2, "' , '", C4, "']")</f>
        <v>['\lambda_{1}' , 'err_{1}']</v>
      </c>
      <c r="U5" s="1" t="str">
        <f>_xlfn.CONCAT("{", "}")</f>
        <v>{}</v>
      </c>
    </row>
    <row r="6" spans="1:21" x14ac:dyDescent="0.5">
      <c r="A6" s="1">
        <v>5</v>
      </c>
      <c r="B6" s="1">
        <v>1</v>
      </c>
      <c r="C6" s="1" t="str">
        <f>_xlfn.CONCAT("c_{",Table1[[#This Row],[dm]], "}")</f>
        <v>c_{1}</v>
      </c>
      <c r="D6" s="1" t="str">
        <f>_xlfn.CONCAT("c_tas_", Table1[[#This Row],[dm]])</f>
        <v>c_tas_1</v>
      </c>
      <c r="E6" s="1" t="s">
        <v>37</v>
      </c>
      <c r="F6" s="1" t="str">
        <f>_xlfn.CONCAT("TAS ", Table1[[#This Row],[dm]], " resourses")</f>
        <v>TAS 1 resourses</v>
      </c>
      <c r="G6" s="1" t="str">
        <f>_xlfn.CONCAT("Number of resources allocated in TAS ",Table1[[#This Row],[dm]])</f>
        <v>Number of resources allocated in TAS 1</v>
      </c>
      <c r="H6" s="1" t="b">
        <v>1</v>
      </c>
      <c r="I6" s="1" t="s">
        <v>3</v>
      </c>
      <c r="J6" s="1" t="s">
        <v>39</v>
      </c>
      <c r="K6" s="1" t="s">
        <v>7</v>
      </c>
      <c r="L6" s="1">
        <v>1</v>
      </c>
      <c r="M6" s="1">
        <f>Table1[[#This Row],[_min]]+2</f>
        <v>3</v>
      </c>
      <c r="N6" s="1">
        <f>AVERAGE(Table1[[#This Row],[_min]:[_max]])</f>
        <v>2</v>
      </c>
      <c r="O6" s="1" t="str">
        <f>Table1[[#This Row],[_units]]</f>
        <v>req</v>
      </c>
      <c r="P6" s="1">
        <f>Table1[[#This Row],[_min]]</f>
        <v>1</v>
      </c>
      <c r="Q6" s="1">
        <f>Table1[[#This Row],[_max]]</f>
        <v>3</v>
      </c>
      <c r="R6" s="1">
        <f>Table1[[#This Row],[_mean]]</f>
        <v>2</v>
      </c>
      <c r="S6" s="1" t="s">
        <v>32</v>
      </c>
      <c r="T6" s="1" t="str">
        <f t="shared" si="0"/>
        <v>[]</v>
      </c>
      <c r="U6" s="1" t="str">
        <f>_xlfn.CONCAT("{'low': ", Table1[[#This Row],[_std_min]], ", 'high': ",Table1[[#This Row],[_std_max]],"}")</f>
        <v>{'low': 1, 'high': 3}</v>
      </c>
    </row>
    <row r="7" spans="1:21" x14ac:dyDescent="0.5">
      <c r="A7" s="1">
        <v>6</v>
      </c>
      <c r="B7" s="1">
        <v>1</v>
      </c>
      <c r="C7" s="1" t="str">
        <f>_xlfn.CONCAT("K_{",Table1[[#This Row],[dm]],"}")</f>
        <v>K_{1}</v>
      </c>
      <c r="D7" s="1" t="str">
        <f>_xlfn.CONCAT("K_tas_", Table1[[#This Row],[dm]])</f>
        <v>K_tas_1</v>
      </c>
      <c r="E7" s="1" t="s">
        <v>37</v>
      </c>
      <c r="F7" s="1" t="str">
        <f>_xlfn.CONCAT("TAS ", Table1[[#This Row],[dm]], " q-capacity")</f>
        <v>TAS 1 q-capacity</v>
      </c>
      <c r="G7" s="1" t="str">
        <f>_xlfn.CONCAT("Allocated request capacity in TAS ",Table1[[#This Row],[dm]]," memory buffer")</f>
        <v>Allocated request capacity in TAS 1 memory buffer</v>
      </c>
      <c r="H7" s="1" t="b">
        <v>1</v>
      </c>
      <c r="I7" s="1" t="s">
        <v>5</v>
      </c>
      <c r="J7" s="1" t="s">
        <v>39</v>
      </c>
      <c r="K7" s="1" t="s">
        <v>7</v>
      </c>
      <c r="L7" s="1">
        <v>1</v>
      </c>
      <c r="M7" s="1">
        <f>Table1[[#This Row],[_min]]+10</f>
        <v>11</v>
      </c>
      <c r="N7" s="1">
        <f>AVERAGE(Table1[[#This Row],[_min]:[_max]])</f>
        <v>6</v>
      </c>
      <c r="O7" s="1" t="str">
        <f>Table1[[#This Row],[_units]]</f>
        <v>req</v>
      </c>
      <c r="P7" s="1">
        <f>Table1[[#This Row],[_min]]</f>
        <v>1</v>
      </c>
      <c r="Q7" s="1">
        <f>Table1[[#This Row],[_max]]</f>
        <v>11</v>
      </c>
      <c r="R7" s="1">
        <f>Table1[[#This Row],[_mean]]</f>
        <v>6</v>
      </c>
      <c r="S7" s="1" t="s">
        <v>33</v>
      </c>
      <c r="T7" s="1" t="str">
        <f>_xlfn.CONCAT("['", C6, "']")</f>
        <v>['c_{1}']</v>
      </c>
      <c r="U7" s="1" t="str">
        <f>_xlfn.CONCAT("{'low': ", Table1[[#This Row],[_std_min]], ", 'high': ",Table1[[#This Row],[_std_max]],"}")</f>
        <v>{'low': 1, 'high': 11}</v>
      </c>
    </row>
    <row r="8" spans="1:21" x14ac:dyDescent="0.5">
      <c r="A8" s="1">
        <v>7</v>
      </c>
      <c r="B8" s="1">
        <v>1</v>
      </c>
      <c r="C8" s="1" t="str">
        <f>_xlfn.CONCAT("\delta_{", Table1[[#This Row],[dm]],"}")</f>
        <v>\delta_{1}</v>
      </c>
      <c r="D8" s="1" t="str">
        <f>_xlfn.CONCAT("delta_tas_", Table1[[#This Row],[dm]])</f>
        <v>delta_tas_1</v>
      </c>
      <c r="E8" s="1" t="s">
        <v>37</v>
      </c>
      <c r="F8" s="1" t="str">
        <f>_xlfn.CONCAT("TAS ", Table1[[#This Row],[dm]], " req data density")</f>
        <v>TAS 1 req data density</v>
      </c>
      <c r="G8" s="1" t="str">
        <f>_xlfn.CONCAT("Data density for request in TAS ", Table1[[#This Row],[dm]], " expected data per requests")</f>
        <v>Data density for request in TAS 1 expected data per requests</v>
      </c>
      <c r="H8" s="1" t="b">
        <v>0</v>
      </c>
      <c r="I8" s="1" t="s">
        <v>3</v>
      </c>
      <c r="J8" s="1" t="s">
        <v>40</v>
      </c>
      <c r="K8" s="1" t="s">
        <v>10</v>
      </c>
      <c r="L8" s="1">
        <v>128</v>
      </c>
      <c r="M8" s="1">
        <f>2*1000</f>
        <v>2000</v>
      </c>
      <c r="N8" s="1">
        <f>AVERAGE(Table1[[#This Row],[_min]:[_max]])</f>
        <v>1064</v>
      </c>
      <c r="O8" s="1" t="s">
        <v>11</v>
      </c>
      <c r="P8" s="1">
        <f>Table1[[#This Row],[_min]]*1024000</f>
        <v>131072000</v>
      </c>
      <c r="Q8" s="1">
        <f>Table1[[#This Row],[_max]]*1024000</f>
        <v>2048000000</v>
      </c>
      <c r="R8" s="1">
        <f>Table1[[#This Row],[_mean]]*1024000</f>
        <v>1089536000</v>
      </c>
      <c r="S8" s="1" t="s">
        <v>9</v>
      </c>
      <c r="T8" s="1" t="str">
        <f t="shared" si="0"/>
        <v>[]</v>
      </c>
      <c r="U8" s="1" t="str">
        <f>_xlfn.CONCAT("{'low': ", Table1[[#This Row],[_std_min]], ", 'high': ",Table1[[#This Row],[_std_max]],"}")</f>
        <v>{'low': 131072000, 'high': 2048000000}</v>
      </c>
    </row>
    <row r="9" spans="1:21" x14ac:dyDescent="0.5">
      <c r="A9" s="1">
        <v>8</v>
      </c>
      <c r="B9" s="1">
        <v>1</v>
      </c>
      <c r="C9" s="1" t="str">
        <f>_xlfn.CONCAT("L_{",Table1[[#This Row],[dm]], "}")</f>
        <v>L_{1}</v>
      </c>
      <c r="D9" s="1" t="str">
        <f>_xlfn.CONCAT("L_tas_", Table1[[#This Row],[dm]])</f>
        <v>L_tas_1</v>
      </c>
      <c r="E9" s="1" t="s">
        <v>37</v>
      </c>
      <c r="F9" s="1" t="str">
        <f>_xlfn.CONCAT("TAS ", Table1[[#This Row],[dm]], " mean processing requests")</f>
        <v>TAS 1 mean processing requests</v>
      </c>
      <c r="G9" s="1" t="str">
        <f>_xlfn.CONCAT("Average number of request in TAS ",Table1[[#This Row],[dm]], " component")</f>
        <v>Average number of request in TAS 1 component</v>
      </c>
      <c r="H9" s="1" t="b">
        <v>1</v>
      </c>
      <c r="I9" s="1" t="s">
        <v>5</v>
      </c>
      <c r="J9" s="1" t="s">
        <v>39</v>
      </c>
      <c r="K9" s="1" t="s">
        <v>7</v>
      </c>
      <c r="L9" s="1">
        <v>1</v>
      </c>
      <c r="M9" s="1">
        <f>Table1[[#This Row],[_min]]+10</f>
        <v>11</v>
      </c>
      <c r="N9" s="1">
        <f>AVERAGE(Table1[[#This Row],[_min]:[_max]])</f>
        <v>6</v>
      </c>
      <c r="O9" s="1" t="str">
        <f>Table1[[#This Row],[_units]]</f>
        <v>req</v>
      </c>
      <c r="P9" s="1">
        <f>Table1[[#This Row],[_min]]</f>
        <v>1</v>
      </c>
      <c r="Q9" s="1">
        <f>Table1[[#This Row],[_max]]</f>
        <v>11</v>
      </c>
      <c r="R9" s="1">
        <f>Table1[[#This Row],[_mean]]</f>
        <v>6</v>
      </c>
      <c r="S9" s="1" t="s">
        <v>35</v>
      </c>
      <c r="T9" s="1" t="str">
        <f>_xlfn.CONCAT("['", C2, "' , '", C3, "' , '", C6, "' , '", C7, "']")</f>
        <v>['\lambda_{1}' , '\mu_{1}' , 'c_{1}' , 'K_{1}']</v>
      </c>
      <c r="U9" s="1" t="str">
        <f>_xlfn.CONCAT("{", "}")</f>
        <v>{}</v>
      </c>
    </row>
    <row r="10" spans="1:21" ht="12.35" customHeight="1" x14ac:dyDescent="0.5">
      <c r="A10" s="1">
        <v>9</v>
      </c>
      <c r="B10" s="1">
        <v>1</v>
      </c>
      <c r="C10" s="1" t="str">
        <f>_xlfn.CONCAT("Lq_{",Table1[[#This Row],[dm]], "}")</f>
        <v>Lq_{1}</v>
      </c>
      <c r="D10" s="1" t="str">
        <f>_xlfn.CONCAT("Lq_tas_", Table1[[#This Row],[dm]])</f>
        <v>Lq_tas_1</v>
      </c>
      <c r="E10" s="1" t="s">
        <v>37</v>
      </c>
      <c r="F10" s="1" t="str">
        <f>_xlfn.CONCAT("TAS ", Table1[[#This Row],[dm]], " mean in memory requests")</f>
        <v>TAS 1 mean in memory requests</v>
      </c>
      <c r="G10" s="1" t="str">
        <f>_xlfn.CONCAT("Average number of request in TAS ",Table1[[#This Row],[dm]], " memory")</f>
        <v>Average number of request in TAS 1 memory</v>
      </c>
      <c r="H10" s="1" t="b">
        <v>0</v>
      </c>
      <c r="I10" s="1" t="s">
        <v>5</v>
      </c>
      <c r="J10" s="1" t="s">
        <v>39</v>
      </c>
      <c r="K10" s="1" t="s">
        <v>7</v>
      </c>
      <c r="L10" s="1">
        <v>1</v>
      </c>
      <c r="M10" s="1">
        <f>Table1[[#This Row],[_min]]+10</f>
        <v>11</v>
      </c>
      <c r="N10" s="1">
        <f>AVERAGE(Table1[[#This Row],[_min]:[_max]])</f>
        <v>6</v>
      </c>
      <c r="O10" s="1" t="str">
        <f>Table1[[#This Row],[_units]]</f>
        <v>req</v>
      </c>
      <c r="P10" s="1">
        <f>Table1[[#This Row],[_min]]</f>
        <v>1</v>
      </c>
      <c r="Q10" s="1">
        <f>Table1[[#This Row],[_max]]</f>
        <v>11</v>
      </c>
      <c r="R10" s="1">
        <f>Table1[[#This Row],[_mean]]</f>
        <v>6</v>
      </c>
      <c r="S10" s="1" t="s">
        <v>35</v>
      </c>
      <c r="T10" s="1" t="str">
        <f>_xlfn.CONCAT("['", C2, "' , '", C3, "' , '", C6, "' , '", C7, "']")</f>
        <v>['\lambda_{1}' , '\mu_{1}' , 'c_{1}' , 'K_{1}']</v>
      </c>
      <c r="U10" s="1" t="str">
        <f>_xlfn.CONCAT("{", "}")</f>
        <v>{}</v>
      </c>
    </row>
    <row r="11" spans="1:21" x14ac:dyDescent="0.5">
      <c r="A11" s="1">
        <v>10</v>
      </c>
      <c r="B11" s="1">
        <v>1</v>
      </c>
      <c r="C11" s="1" t="str">
        <f>_xlfn.CONCAT("W_{",Table1[[#This Row],[dm]], "}")</f>
        <v>W_{1}</v>
      </c>
      <c r="D11" s="1" t="str">
        <f>_xlfn.CONCAT("W_tas_", Table1[[#This Row],[dm]])</f>
        <v>W_tas_1</v>
      </c>
      <c r="E11" s="1" t="s">
        <v>37</v>
      </c>
      <c r="F11" s="1" t="str">
        <f>_xlfn.CONCAT("TAS ", Table1[[#This Row],[dm]], " mean time to answer")</f>
        <v>TAS 1 mean time to answer</v>
      </c>
      <c r="G11" s="1" t="str">
        <f>_xlfn.CONCAT("Average time to complete a request in TAS ",Table1[[#This Row],[dm]])</f>
        <v>Average time to complete a request in TAS 1</v>
      </c>
      <c r="H11" s="1" t="b">
        <v>1</v>
      </c>
      <c r="I11" s="1" t="s">
        <v>6</v>
      </c>
      <c r="J11" s="1" t="s">
        <v>28</v>
      </c>
      <c r="K11" s="1" t="s">
        <v>29</v>
      </c>
      <c r="L11" s="1">
        <v>0</v>
      </c>
      <c r="M11" s="8">
        <v>1.8018018018018001E-3</v>
      </c>
      <c r="N11" s="8">
        <v>1.8018018018018001E-3</v>
      </c>
      <c r="O11" s="1" t="str">
        <f>Table1[[#This Row],[_units]]</f>
        <v>s</v>
      </c>
      <c r="P11" s="1">
        <f>Table1[[#This Row],[_min]]</f>
        <v>0</v>
      </c>
      <c r="Q11" s="1">
        <f>Table1[[#This Row],[_max]]</f>
        <v>1.8018018018018001E-3</v>
      </c>
      <c r="R11" s="1">
        <f>Table1[[#This Row],[_mean]]</f>
        <v>1.8018018018018001E-3</v>
      </c>
      <c r="S11" s="1" t="s">
        <v>34</v>
      </c>
      <c r="T11" s="1" t="str">
        <f>_xlfn.CONCAT("['", C5, "' , '", C9, "']")</f>
        <v>['\chi_{1}' , 'L_{1}']</v>
      </c>
      <c r="U11" s="1" t="str">
        <f>_xlfn.CONCAT("{", "}")</f>
        <v>{}</v>
      </c>
    </row>
    <row r="12" spans="1:21" x14ac:dyDescent="0.5">
      <c r="A12" s="1">
        <v>11</v>
      </c>
      <c r="B12" s="1">
        <v>1</v>
      </c>
      <c r="C12" s="1" t="str">
        <f>_xlfn.CONCAT("Wq_{",Table1[[#This Row],[dm]], "}")</f>
        <v>Wq_{1}</v>
      </c>
      <c r="D12" s="1" t="str">
        <f>_xlfn.CONCAT("Wq_tas_", Table1[[#This Row],[dm]])</f>
        <v>Wq_tas_1</v>
      </c>
      <c r="E12" s="1" t="s">
        <v>37</v>
      </c>
      <c r="F12" s="1" t="str">
        <f>_xlfn.CONCAT("TAS ", Table1[[#This Row],[dm]], " mean time in buffer")</f>
        <v>TAS 1 mean time in buffer</v>
      </c>
      <c r="G12" s="1" t="str">
        <f>_xlfn.CONCAT("Average time for a request to transit the buffer in TAS ",Table1[[#This Row],[dm]])</f>
        <v>Average time for a request to transit the buffer in TAS 1</v>
      </c>
      <c r="H12" s="1" t="b">
        <v>0</v>
      </c>
      <c r="I12" s="1" t="s">
        <v>5</v>
      </c>
      <c r="J12" s="1" t="s">
        <v>28</v>
      </c>
      <c r="K12" s="1" t="s">
        <v>29</v>
      </c>
      <c r="L12" s="1">
        <v>0</v>
      </c>
      <c r="M12" s="8">
        <v>6.9069069069068996E-4</v>
      </c>
      <c r="N12" s="8">
        <v>6.9069069069068996E-4</v>
      </c>
      <c r="O12" s="1" t="str">
        <f>Table1[[#This Row],[_units]]</f>
        <v>s</v>
      </c>
      <c r="P12" s="1">
        <f>Table1[[#This Row],[_min]]</f>
        <v>0</v>
      </c>
      <c r="Q12" s="1">
        <f>Table1[[#This Row],[_max]]</f>
        <v>6.9069069069068996E-4</v>
      </c>
      <c r="R12" s="1">
        <f>Table1[[#This Row],[_mean]]</f>
        <v>6.9069069069068996E-4</v>
      </c>
      <c r="S12" s="1" t="s">
        <v>34</v>
      </c>
      <c r="T12" s="1" t="str">
        <f>_xlfn.CONCAT("['", C5, "' , '", C10, "']")</f>
        <v>['\chi_{1}' , 'Lq_{1}']</v>
      </c>
      <c r="U12" s="1" t="str">
        <f>_xlfn.CONCAT("{", "}")</f>
        <v>{}</v>
      </c>
    </row>
    <row r="13" spans="1:21" x14ac:dyDescent="0.5">
      <c r="A13" s="1">
        <v>12</v>
      </c>
      <c r="B13" s="1">
        <f>B2+1</f>
        <v>2</v>
      </c>
      <c r="C13" s="1" t="str">
        <f>_xlfn.CONCAT("\lambda_{", Table1[[#This Row],[dm]],"}")</f>
        <v>\lambda_{2}</v>
      </c>
      <c r="D13" s="1" t="str">
        <f>_xlfn.CONCAT("lambda_tas_", Table1[[#This Row],[dm]])</f>
        <v>lambda_tas_2</v>
      </c>
      <c r="E13" s="1" t="str">
        <f>E2</f>
        <v>CUSTOM</v>
      </c>
      <c r="F13" s="1" t="str">
        <f>_xlfn.CONCAT("TAS ", Table1[[#This Row],[dm]], " arrival rate")</f>
        <v>TAS 2 arrival rate</v>
      </c>
      <c r="G13" s="1" t="str">
        <f>_xlfn.CONCAT("Arrival rate for TAS ",Table1[[#This Row],[dm]])</f>
        <v>Arrival rate for TAS 2</v>
      </c>
      <c r="H13" s="1" t="b">
        <f>H2</f>
        <v>1</v>
      </c>
      <c r="I13" s="1" t="str">
        <f t="shared" ref="I13:K13" si="1">I2</f>
        <v>IN</v>
      </c>
      <c r="J13" s="1" t="str">
        <f t="shared" si="1"/>
        <v>E*T^-1</v>
      </c>
      <c r="K13" s="1" t="str">
        <f t="shared" si="1"/>
        <v>req/s</v>
      </c>
      <c r="L13" s="1">
        <f>0.1*258.75</f>
        <v>25.875</v>
      </c>
      <c r="M13" s="7">
        <f>1.9*258.75</f>
        <v>491.625</v>
      </c>
      <c r="N13" s="4">
        <f>AVERAGE(Table1[[#This Row],[_min]:[_max]])</f>
        <v>258.75</v>
      </c>
      <c r="O13" s="1" t="str">
        <f>Table1[[#This Row],[_units]]</f>
        <v>req/s</v>
      </c>
      <c r="P13" s="1">
        <f>Table1[[#This Row],[_min]]</f>
        <v>25.875</v>
      </c>
      <c r="Q13" s="1">
        <f>Table1[[#This Row],[_max]]</f>
        <v>491.625</v>
      </c>
      <c r="R13" s="1">
        <f>Table1[[#This Row],[_mean]]</f>
        <v>258.75</v>
      </c>
      <c r="S13" s="1" t="str">
        <f>S2</f>
        <v>uniform</v>
      </c>
      <c r="T13" s="1" t="str">
        <f t="shared" si="0"/>
        <v>[]</v>
      </c>
      <c r="U13" s="1" t="str">
        <f>_xlfn.CONCAT("{'low': ", Table1[[#This Row],[_std_min]], ", 'high': ",Table1[[#This Row],[_std_max]],"}")</f>
        <v>{'low': 25.875, 'high': 491.625}</v>
      </c>
    </row>
    <row r="14" spans="1:21" x14ac:dyDescent="0.5">
      <c r="A14" s="1">
        <v>13</v>
      </c>
      <c r="B14" s="1">
        <f t="shared" ref="B14:B77" si="2">B3+1</f>
        <v>2</v>
      </c>
      <c r="C14" s="1" t="str">
        <f>_xlfn.CONCAT("\mu_{",Table1[[#This Row],[dm]], "}")</f>
        <v>\mu_{2}</v>
      </c>
      <c r="D14" s="1" t="str">
        <f>_xlfn.CONCAT("mu_tas_", Table1[[#This Row],[dm]])</f>
        <v>mu_tas_2</v>
      </c>
      <c r="E14" s="1" t="str">
        <f t="shared" ref="E14:E77" si="3">E3</f>
        <v>CUSTOM</v>
      </c>
      <c r="F14" s="1" t="str">
        <f>_xlfn.CONCAT("TAS ", Table1[[#This Row],[dm]], " service rate")</f>
        <v>TAS 2 service rate</v>
      </c>
      <c r="G14" s="1" t="str">
        <f>_xlfn.CONCAT("Service rate for TAS ",Table1[[#This Row],[dm]])</f>
        <v>Service rate for TAS 2</v>
      </c>
      <c r="H14" s="1" t="b">
        <f t="shared" ref="H14:K14" si="4">H3</f>
        <v>1</v>
      </c>
      <c r="I14" s="1" t="str">
        <f t="shared" si="4"/>
        <v>CTRL</v>
      </c>
      <c r="J14" s="1" t="str">
        <f t="shared" si="4"/>
        <v>E*T^-1</v>
      </c>
      <c r="K14" s="1" t="str">
        <f t="shared" si="4"/>
        <v>req/s</v>
      </c>
      <c r="L14" s="1">
        <f>0.1*700</f>
        <v>70</v>
      </c>
      <c r="M14" s="5">
        <f>1.9*700</f>
        <v>1330</v>
      </c>
      <c r="N14" s="4">
        <f>AVERAGE(Table1[[#This Row],[_min]:[_max]])</f>
        <v>700</v>
      </c>
      <c r="O14" s="1" t="str">
        <f>Table1[[#This Row],[_units]]</f>
        <v>req/s</v>
      </c>
      <c r="P14" s="1">
        <f>Table1[[#This Row],[_min]]</f>
        <v>70</v>
      </c>
      <c r="Q14" s="1">
        <f>Table1[[#This Row],[_max]]</f>
        <v>1330</v>
      </c>
      <c r="R14" s="1">
        <f>Table1[[#This Row],[_mean]]</f>
        <v>700</v>
      </c>
      <c r="S14" s="1" t="str">
        <f t="shared" ref="S14:S77" si="5">S3</f>
        <v>uniform</v>
      </c>
      <c r="T14" s="1" t="str">
        <f t="shared" si="0"/>
        <v>[]</v>
      </c>
      <c r="U14" s="1" t="str">
        <f>_xlfn.CONCAT("{'low': ", Table1[[#This Row],[_std_min]], ", 'high': ",Table1[[#This Row],[_std_max]],"}")</f>
        <v>{'low': 70, 'high': 1330}</v>
      </c>
    </row>
    <row r="15" spans="1:21" x14ac:dyDescent="0.5">
      <c r="A15" s="1">
        <v>14</v>
      </c>
      <c r="B15" s="1">
        <f t="shared" si="2"/>
        <v>2</v>
      </c>
      <c r="C15" s="1" t="str">
        <f>_xlfn.CONCAT("err_{",Table1[[#This Row],[dm]], "}")</f>
        <v>err_{2}</v>
      </c>
      <c r="D15" s="1" t="str">
        <f>_xlfn.CONCAT("err_tas_", Table1[[#This Row],[dm]])</f>
        <v>err_tas_2</v>
      </c>
      <c r="E15" s="1" t="str">
        <f t="shared" si="3"/>
        <v>CUSTOM</v>
      </c>
      <c r="F15" s="1" t="str">
        <f>_xlfn.CONCAT("TAS ", Table1[[#This Row],[dm]], " error probability")</f>
        <v>TAS 2 error probability</v>
      </c>
      <c r="G15" s="1" t="str">
        <f>_xlfn.CONCAT("Service error probability for TAS ",Table1[[#This Row],[dm]])</f>
        <v>Service error probability for TAS 2</v>
      </c>
      <c r="H15" s="1" t="b">
        <f t="shared" ref="H15:K15" si="6">H4</f>
        <v>0</v>
      </c>
      <c r="I15" s="1" t="str">
        <f t="shared" si="6"/>
        <v>CTRL</v>
      </c>
      <c r="J15" s="1" t="str">
        <f t="shared" si="6"/>
        <v>E*T^-1</v>
      </c>
      <c r="K15" s="1" t="str">
        <f t="shared" si="6"/>
        <v>n.a.</v>
      </c>
      <c r="L15" s="3">
        <v>0</v>
      </c>
      <c r="M15" s="3">
        <v>0</v>
      </c>
      <c r="N15" s="4">
        <f>AVERAGE(Table1[[#This Row],[_min]:[_max]])</f>
        <v>0</v>
      </c>
      <c r="O15" s="1" t="str">
        <f>Table1[[#This Row],[_units]]</f>
        <v>n.a.</v>
      </c>
      <c r="P15" s="2">
        <f>Table1[[#This Row],[_min]]</f>
        <v>0</v>
      </c>
      <c r="Q15" s="2">
        <f>Table1[[#This Row],[_max]]</f>
        <v>0</v>
      </c>
      <c r="R15" s="2">
        <f>Table1[[#This Row],[_mean]]</f>
        <v>0</v>
      </c>
      <c r="S15" s="1" t="str">
        <f t="shared" si="5"/>
        <v>adjusted_uniform</v>
      </c>
      <c r="T15" s="1" t="str">
        <f t="shared" si="0"/>
        <v>[]</v>
      </c>
      <c r="U15" s="1" t="str">
        <f>_xlfn.CONCAT("{'constant': ",Table1[[#This Row],[_std_max]],"}")</f>
        <v>{'constant': 0}</v>
      </c>
    </row>
    <row r="16" spans="1:21" x14ac:dyDescent="0.5">
      <c r="A16" s="1">
        <v>15</v>
      </c>
      <c r="B16" s="1">
        <f t="shared" si="2"/>
        <v>2</v>
      </c>
      <c r="C16" s="1" t="str">
        <f>_xlfn.CONCAT("\chi_{",Table1[[#This Row],[dm]], "}")</f>
        <v>\chi_{2}</v>
      </c>
      <c r="D16" s="1" t="str">
        <f>_xlfn.CONCAT("chi_tas_", Table1[[#This Row],[dm]])</f>
        <v>chi_tas_2</v>
      </c>
      <c r="E16" s="1" t="str">
        <f t="shared" si="3"/>
        <v>CUSTOM</v>
      </c>
      <c r="F16" s="1" t="str">
        <f>_xlfn.CONCAT("TAS ", Table1[[#This Row],[dm]], " departure rate")</f>
        <v>TAS 2 departure rate</v>
      </c>
      <c r="G16" s="1" t="str">
        <f>_xlfn.CONCAT("Departure rate for TAS ",Table1[[#This Row],[dm]])</f>
        <v>Departure rate for TAS 2</v>
      </c>
      <c r="H16" s="1" t="b">
        <f t="shared" ref="H16:K16" si="7">H5</f>
        <v>1</v>
      </c>
      <c r="I16" s="1" t="str">
        <f t="shared" si="7"/>
        <v>CTRL</v>
      </c>
      <c r="J16" s="1" t="str">
        <f t="shared" si="7"/>
        <v>E*T^-1</v>
      </c>
      <c r="K16" s="1" t="str">
        <f t="shared" si="7"/>
        <v>req/s</v>
      </c>
      <c r="L16" s="1">
        <f>0.1*258.75</f>
        <v>25.875</v>
      </c>
      <c r="M16" s="7">
        <f>1.9*258.75</f>
        <v>491.625</v>
      </c>
      <c r="N16" s="4">
        <f>AVERAGE(Table1[[#This Row],[_min]:[_max]])</f>
        <v>258.75</v>
      </c>
      <c r="O16" s="1" t="str">
        <f>Table1[[#This Row],[_units]]</f>
        <v>req/s</v>
      </c>
      <c r="P16" s="1">
        <f>Table1[[#This Row],[_min]]</f>
        <v>25.875</v>
      </c>
      <c r="Q16" s="1">
        <f>Table1[[#This Row],[_max]]</f>
        <v>491.625</v>
      </c>
      <c r="R16" s="1">
        <f>Table1[[#This Row],[_mean]]</f>
        <v>258.75</v>
      </c>
      <c r="S16" s="1" t="str">
        <f t="shared" si="5"/>
        <v>adjusted_rate</v>
      </c>
      <c r="T16" s="1" t="str">
        <f>_xlfn.CONCAT("['", C13, "' , '", C15, "']")</f>
        <v>['\lambda_{2}' , 'err_{2}']</v>
      </c>
      <c r="U16" s="1" t="str">
        <f t="shared" ref="U16" si="8">_xlfn.CONCAT("{", "}")</f>
        <v>{}</v>
      </c>
    </row>
    <row r="17" spans="1:21" x14ac:dyDescent="0.5">
      <c r="A17" s="1">
        <v>16</v>
      </c>
      <c r="B17" s="1">
        <f t="shared" si="2"/>
        <v>2</v>
      </c>
      <c r="C17" s="1" t="str">
        <f>_xlfn.CONCAT("c_{",Table1[[#This Row],[dm]], "}")</f>
        <v>c_{2}</v>
      </c>
      <c r="D17" s="1" t="str">
        <f>_xlfn.CONCAT("c_tas_", Table1[[#This Row],[dm]])</f>
        <v>c_tas_2</v>
      </c>
      <c r="E17" s="1" t="str">
        <f t="shared" si="3"/>
        <v>CUSTOM</v>
      </c>
      <c r="F17" s="1" t="str">
        <f>_xlfn.CONCAT("TAS ", Table1[[#This Row],[dm]], " resourses")</f>
        <v>TAS 2 resourses</v>
      </c>
      <c r="G17" s="1" t="str">
        <f>_xlfn.CONCAT("Number of resources allocated in TAS ",Table1[[#This Row],[dm]])</f>
        <v>Number of resources allocated in TAS 2</v>
      </c>
      <c r="H17" s="1" t="b">
        <f t="shared" ref="H17:K17" si="9">H6</f>
        <v>1</v>
      </c>
      <c r="I17" s="1" t="str">
        <f t="shared" si="9"/>
        <v>IN</v>
      </c>
      <c r="J17" s="1" t="str">
        <f t="shared" si="9"/>
        <v>E</v>
      </c>
      <c r="K17" s="1" t="str">
        <f t="shared" si="9"/>
        <v>req</v>
      </c>
      <c r="L17" s="1">
        <v>1</v>
      </c>
      <c r="M17" s="1">
        <f>Table1[[#This Row],[_min]]+2</f>
        <v>3</v>
      </c>
      <c r="N17" s="4">
        <f>AVERAGE(Table1[[#This Row],[_min]:[_max]])</f>
        <v>2</v>
      </c>
      <c r="O17" s="1" t="str">
        <f>Table1[[#This Row],[_units]]</f>
        <v>req</v>
      </c>
      <c r="P17" s="1">
        <f>Table1[[#This Row],[_min]]</f>
        <v>1</v>
      </c>
      <c r="Q17" s="1">
        <f>Table1[[#This Row],[_max]]</f>
        <v>3</v>
      </c>
      <c r="R17" s="1">
        <f>Table1[[#This Row],[_mean]]</f>
        <v>2</v>
      </c>
      <c r="S17" s="1" t="str">
        <f t="shared" si="5"/>
        <v>uniform_int</v>
      </c>
      <c r="T17" s="1" t="str">
        <f t="shared" si="0"/>
        <v>[]</v>
      </c>
      <c r="U17" s="1" t="str">
        <f>_xlfn.CONCAT("{'low': ", Table1[[#This Row],[_std_min]], ", 'high': ",Table1[[#This Row],[_std_max]],"}")</f>
        <v>{'low': 1, 'high': 3}</v>
      </c>
    </row>
    <row r="18" spans="1:21" x14ac:dyDescent="0.5">
      <c r="A18" s="1">
        <v>17</v>
      </c>
      <c r="B18" s="1">
        <f t="shared" si="2"/>
        <v>2</v>
      </c>
      <c r="C18" s="1" t="str">
        <f>_xlfn.CONCAT("K_{",Table1[[#This Row],[dm]],"}")</f>
        <v>K_{2}</v>
      </c>
      <c r="D18" s="1" t="str">
        <f>_xlfn.CONCAT("K_tas_", Table1[[#This Row],[dm]])</f>
        <v>K_tas_2</v>
      </c>
      <c r="E18" s="1" t="str">
        <f t="shared" si="3"/>
        <v>CUSTOM</v>
      </c>
      <c r="F18" s="1" t="str">
        <f>_xlfn.CONCAT("TAS ", Table1[[#This Row],[dm]], " q-capacity")</f>
        <v>TAS 2 q-capacity</v>
      </c>
      <c r="G18" s="1" t="str">
        <f>_xlfn.CONCAT("Allocated request capacity in TAS ",Table1[[#This Row],[dm]]," memory buffer")</f>
        <v>Allocated request capacity in TAS 2 memory buffer</v>
      </c>
      <c r="H18" s="1" t="b">
        <f t="shared" ref="H18:K18" si="10">H7</f>
        <v>1</v>
      </c>
      <c r="I18" s="1" t="str">
        <f t="shared" si="10"/>
        <v>CTRL</v>
      </c>
      <c r="J18" s="1" t="str">
        <f t="shared" si="10"/>
        <v>E</v>
      </c>
      <c r="K18" s="1" t="str">
        <f t="shared" si="10"/>
        <v>req</v>
      </c>
      <c r="L18" s="1">
        <v>1</v>
      </c>
      <c r="M18" s="1">
        <f>Table1[[#This Row],[_min]]+10</f>
        <v>11</v>
      </c>
      <c r="N18" s="4">
        <f>AVERAGE(Table1[[#This Row],[_min]:[_max]])</f>
        <v>6</v>
      </c>
      <c r="O18" s="1" t="str">
        <f>Table1[[#This Row],[_units]]</f>
        <v>req</v>
      </c>
      <c r="P18" s="1">
        <f>Table1[[#This Row],[_min]]</f>
        <v>1</v>
      </c>
      <c r="Q18" s="1">
        <f>Table1[[#This Row],[_max]]</f>
        <v>11</v>
      </c>
      <c r="R18" s="1">
        <f>Table1[[#This Row],[_mean]]</f>
        <v>6</v>
      </c>
      <c r="S18" s="1" t="str">
        <f t="shared" si="5"/>
        <v>shifted_uniform_int</v>
      </c>
      <c r="T18" s="1" t="str">
        <f>_xlfn.CONCAT("['", C17, "']")</f>
        <v>['c_{2}']</v>
      </c>
      <c r="U18" s="1" t="str">
        <f>_xlfn.CONCAT("{'low': ", Table1[[#This Row],[_std_min]], ", 'high': ",Table1[[#This Row],[_std_max]],"}")</f>
        <v>{'low': 1, 'high': 11}</v>
      </c>
    </row>
    <row r="19" spans="1:21" x14ac:dyDescent="0.5">
      <c r="A19" s="1">
        <v>18</v>
      </c>
      <c r="B19" s="1">
        <f t="shared" si="2"/>
        <v>2</v>
      </c>
      <c r="C19" s="1" t="str">
        <f>_xlfn.CONCAT("\delta_{", Table1[[#This Row],[dm]],"}")</f>
        <v>\delta_{2}</v>
      </c>
      <c r="D19" s="1" t="str">
        <f>_xlfn.CONCAT("delta_tas_", Table1[[#This Row],[dm]])</f>
        <v>delta_tas_2</v>
      </c>
      <c r="E19" s="1" t="str">
        <f t="shared" si="3"/>
        <v>CUSTOM</v>
      </c>
      <c r="F19" s="1" t="str">
        <f>_xlfn.CONCAT("TAS ", Table1[[#This Row],[dm]], " req data density")</f>
        <v>TAS 2 req data density</v>
      </c>
      <c r="G19" s="1" t="str">
        <f>_xlfn.CONCAT("Data density for request in TAS ", Table1[[#This Row],[dm]], " expected data per requests")</f>
        <v>Data density for request in TAS 2 expected data per requests</v>
      </c>
      <c r="H19" s="1" t="b">
        <f t="shared" ref="H19:K19" si="11">H8</f>
        <v>0</v>
      </c>
      <c r="I19" s="1" t="str">
        <f t="shared" si="11"/>
        <v>IN</v>
      </c>
      <c r="J19" s="1" t="str">
        <f t="shared" si="11"/>
        <v>D*E^-1</v>
      </c>
      <c r="K19" s="1" t="str">
        <f t="shared" si="11"/>
        <v>kB/req</v>
      </c>
      <c r="L19" s="1">
        <v>128</v>
      </c>
      <c r="M19" s="1">
        <f>2*1000</f>
        <v>2000</v>
      </c>
      <c r="N19" s="4">
        <f>AVERAGE(Table1[[#This Row],[_min]:[_max]])</f>
        <v>1064</v>
      </c>
      <c r="O19" s="1" t="s">
        <v>11</v>
      </c>
      <c r="P19" s="1">
        <f>Table1[[#This Row],[_min]]*1024000</f>
        <v>131072000</v>
      </c>
      <c r="Q19" s="1">
        <f>Table1[[#This Row],[_max]]*1024000</f>
        <v>2048000000</v>
      </c>
      <c r="R19" s="1">
        <f>Table1[[#This Row],[_mean]]*1024000</f>
        <v>1089536000</v>
      </c>
      <c r="S19" s="1" t="str">
        <f t="shared" si="5"/>
        <v>uniform</v>
      </c>
      <c r="T19" s="1" t="str">
        <f t="shared" si="0"/>
        <v>[]</v>
      </c>
      <c r="U19" s="1" t="str">
        <f>_xlfn.CONCAT("{'low': ", Table1[[#This Row],[_std_min]], ", 'high': ",Table1[[#This Row],[_std_max]],"}")</f>
        <v>{'low': 131072000, 'high': 2048000000}</v>
      </c>
    </row>
    <row r="20" spans="1:21" x14ac:dyDescent="0.5">
      <c r="A20" s="1">
        <v>19</v>
      </c>
      <c r="B20" s="1">
        <f t="shared" si="2"/>
        <v>2</v>
      </c>
      <c r="C20" s="1" t="str">
        <f>_xlfn.CONCAT("L_{",Table1[[#This Row],[dm]], "}")</f>
        <v>L_{2}</v>
      </c>
      <c r="D20" s="1" t="str">
        <f>_xlfn.CONCAT("L_tas_", Table1[[#This Row],[dm]])</f>
        <v>L_tas_2</v>
      </c>
      <c r="E20" s="1" t="str">
        <f t="shared" si="3"/>
        <v>CUSTOM</v>
      </c>
      <c r="F20" s="1" t="str">
        <f>_xlfn.CONCAT("TAS ", Table1[[#This Row],[dm]], " mean processing requests")</f>
        <v>TAS 2 mean processing requests</v>
      </c>
      <c r="G20" s="1" t="str">
        <f>_xlfn.CONCAT("Average number of request in TAS ",Table1[[#This Row],[dm]], " component")</f>
        <v>Average number of request in TAS 2 component</v>
      </c>
      <c r="H20" s="1" t="b">
        <f t="shared" ref="H20:K20" si="12">H9</f>
        <v>1</v>
      </c>
      <c r="I20" s="1" t="str">
        <f t="shared" si="12"/>
        <v>CTRL</v>
      </c>
      <c r="J20" s="1" t="str">
        <f t="shared" si="12"/>
        <v>E</v>
      </c>
      <c r="K20" s="1" t="str">
        <f t="shared" si="12"/>
        <v>req</v>
      </c>
      <c r="L20" s="1">
        <v>1</v>
      </c>
      <c r="M20" s="1">
        <f>Table1[[#This Row],[_min]]+10</f>
        <v>11</v>
      </c>
      <c r="N20" s="4">
        <f>AVERAGE(Table1[[#This Row],[_min]:[_max]])</f>
        <v>6</v>
      </c>
      <c r="O20" s="1" t="str">
        <f>Table1[[#This Row],[_units]]</f>
        <v>req</v>
      </c>
      <c r="P20" s="1">
        <f>Table1[[#This Row],[_min]]</f>
        <v>1</v>
      </c>
      <c r="Q20" s="1">
        <f>Table1[[#This Row],[_max]]</f>
        <v>11</v>
      </c>
      <c r="R20" s="1">
        <f>Table1[[#This Row],[_mean]]</f>
        <v>6</v>
      </c>
      <c r="S20" s="1" t="str">
        <f t="shared" si="5"/>
        <v>queue_length</v>
      </c>
      <c r="T20" s="1" t="str">
        <f>_xlfn.CONCAT("['", C13, "' , '", C14, "' , '", C17, "' , '", C18, "']")</f>
        <v>['\lambda_{2}' , '\mu_{2}' , 'c_{2}' , 'K_{2}']</v>
      </c>
      <c r="U20" s="1" t="str">
        <f t="shared" ref="U20:U23" si="13">_xlfn.CONCAT("{", "}")</f>
        <v>{}</v>
      </c>
    </row>
    <row r="21" spans="1:21" x14ac:dyDescent="0.5">
      <c r="A21" s="1">
        <v>20</v>
      </c>
      <c r="B21" s="1">
        <f t="shared" si="2"/>
        <v>2</v>
      </c>
      <c r="C21" s="1" t="str">
        <f>_xlfn.CONCAT("Lq_{",Table1[[#This Row],[dm]], "}")</f>
        <v>Lq_{2}</v>
      </c>
      <c r="D21" s="1" t="str">
        <f>_xlfn.CONCAT("Lq_tas_", Table1[[#This Row],[dm]])</f>
        <v>Lq_tas_2</v>
      </c>
      <c r="E21" s="1" t="str">
        <f t="shared" si="3"/>
        <v>CUSTOM</v>
      </c>
      <c r="F21" s="1" t="str">
        <f>_xlfn.CONCAT("TAS ", Table1[[#This Row],[dm]], " mean in memory requests")</f>
        <v>TAS 2 mean in memory requests</v>
      </c>
      <c r="G21" s="1" t="str">
        <f>_xlfn.CONCAT("Average number of request in TAS ",Table1[[#This Row],[dm]], " memory")</f>
        <v>Average number of request in TAS 2 memory</v>
      </c>
      <c r="H21" s="1" t="b">
        <f t="shared" ref="H21:K21" si="14">H10</f>
        <v>0</v>
      </c>
      <c r="I21" s="1" t="str">
        <f t="shared" si="14"/>
        <v>CTRL</v>
      </c>
      <c r="J21" s="1" t="str">
        <f t="shared" si="14"/>
        <v>E</v>
      </c>
      <c r="K21" s="1" t="str">
        <f t="shared" si="14"/>
        <v>req</v>
      </c>
      <c r="L21" s="1">
        <v>1</v>
      </c>
      <c r="M21" s="1">
        <f>Table1[[#This Row],[_min]]+10</f>
        <v>11</v>
      </c>
      <c r="N21" s="4">
        <f>AVERAGE(Table1[[#This Row],[_min]:[_max]])</f>
        <v>6</v>
      </c>
      <c r="O21" s="1" t="str">
        <f>Table1[[#This Row],[_units]]</f>
        <v>req</v>
      </c>
      <c r="P21" s="1">
        <f>Table1[[#This Row],[_min]]</f>
        <v>1</v>
      </c>
      <c r="Q21" s="1">
        <f>Table1[[#This Row],[_max]]</f>
        <v>11</v>
      </c>
      <c r="R21" s="1">
        <f>Table1[[#This Row],[_mean]]</f>
        <v>6</v>
      </c>
      <c r="S21" s="1" t="str">
        <f t="shared" si="5"/>
        <v>queue_length</v>
      </c>
      <c r="T21" s="1" t="str">
        <f>_xlfn.CONCAT("['", C13, "' , '", C14, "' , '", C17, "' , '", C18, "']")</f>
        <v>['\lambda_{2}' , '\mu_{2}' , 'c_{2}' , 'K_{2}']</v>
      </c>
      <c r="U21" s="1" t="str">
        <f t="shared" si="13"/>
        <v>{}</v>
      </c>
    </row>
    <row r="22" spans="1:21" x14ac:dyDescent="0.5">
      <c r="A22" s="1">
        <v>21</v>
      </c>
      <c r="B22" s="1">
        <f t="shared" si="2"/>
        <v>2</v>
      </c>
      <c r="C22" s="1" t="str">
        <f>_xlfn.CONCAT("W_{",Table1[[#This Row],[dm]], "}")</f>
        <v>W_{2}</v>
      </c>
      <c r="D22" s="1" t="str">
        <f>_xlfn.CONCAT("W_tas_", Table1[[#This Row],[dm]])</f>
        <v>W_tas_2</v>
      </c>
      <c r="E22" s="1" t="str">
        <f t="shared" si="3"/>
        <v>CUSTOM</v>
      </c>
      <c r="F22" s="1" t="str">
        <f>_xlfn.CONCAT("TAS ", Table1[[#This Row],[dm]], " mean time to answer")</f>
        <v>TAS 2 mean time to answer</v>
      </c>
      <c r="G22" s="1" t="str">
        <f>_xlfn.CONCAT("Average time to complete a request in TAS ",Table1[[#This Row],[dm]])</f>
        <v>Average time to complete a request in TAS 2</v>
      </c>
      <c r="H22" s="1" t="b">
        <f t="shared" ref="H22:K22" si="15">H11</f>
        <v>1</v>
      </c>
      <c r="I22" s="1" t="str">
        <f t="shared" si="15"/>
        <v>OUT</v>
      </c>
      <c r="J22" s="1" t="str">
        <f t="shared" si="15"/>
        <v>T</v>
      </c>
      <c r="K22" s="1" t="str">
        <f t="shared" si="15"/>
        <v>s</v>
      </c>
      <c r="L22" s="1">
        <v>0</v>
      </c>
      <c r="M22" s="8">
        <v>2.2662889518413601E-3</v>
      </c>
      <c r="N22" s="8">
        <v>2.2662889518413601E-3</v>
      </c>
      <c r="O22" s="1" t="str">
        <f>Table1[[#This Row],[_units]]</f>
        <v>s</v>
      </c>
      <c r="P22" s="1">
        <f>Table1[[#This Row],[_min]]</f>
        <v>0</v>
      </c>
      <c r="Q22" s="1">
        <f>Table1[[#This Row],[_max]]</f>
        <v>2.2662889518413601E-3</v>
      </c>
      <c r="R22" s="1">
        <f>Table1[[#This Row],[_mean]]</f>
        <v>2.2662889518413601E-3</v>
      </c>
      <c r="S22" s="1" t="str">
        <f t="shared" si="5"/>
        <v>queue_time</v>
      </c>
      <c r="T22" s="1" t="str">
        <f>_xlfn.CONCAT("['", C16, "' , '", C20, "']")</f>
        <v>['\chi_{2}' , 'L_{2}']</v>
      </c>
      <c r="U22" s="1" t="str">
        <f t="shared" si="13"/>
        <v>{}</v>
      </c>
    </row>
    <row r="23" spans="1:21" x14ac:dyDescent="0.5">
      <c r="A23" s="1">
        <v>22</v>
      </c>
      <c r="B23" s="1">
        <f t="shared" si="2"/>
        <v>2</v>
      </c>
      <c r="C23" s="1" t="str">
        <f>_xlfn.CONCAT("Wq_{",Table1[[#This Row],[dm]], "}")</f>
        <v>Wq_{2}</v>
      </c>
      <c r="D23" s="1" t="str">
        <f>_xlfn.CONCAT("Wq_tas_", Table1[[#This Row],[dm]])</f>
        <v>Wq_tas_2</v>
      </c>
      <c r="E23" s="1" t="str">
        <f t="shared" si="3"/>
        <v>CUSTOM</v>
      </c>
      <c r="F23" s="1" t="str">
        <f>_xlfn.CONCAT("TAS ", Table1[[#This Row],[dm]], " mean time in buffer")</f>
        <v>TAS 2 mean time in buffer</v>
      </c>
      <c r="G23" s="1" t="str">
        <f>_xlfn.CONCAT("Average time for a request to transit the buffer in TAS ",Table1[[#This Row],[dm]])</f>
        <v>Average time for a request to transit the buffer in TAS 2</v>
      </c>
      <c r="H23" s="1" t="b">
        <f t="shared" ref="H23:K23" si="16">H12</f>
        <v>0</v>
      </c>
      <c r="I23" s="1" t="str">
        <f t="shared" si="16"/>
        <v>CTRL</v>
      </c>
      <c r="J23" s="1" t="str">
        <f t="shared" si="16"/>
        <v>T</v>
      </c>
      <c r="K23" s="1" t="str">
        <f t="shared" si="16"/>
        <v>s</v>
      </c>
      <c r="L23" s="1">
        <v>0</v>
      </c>
      <c r="M23" s="8">
        <v>8.3771752326993105E-4</v>
      </c>
      <c r="N23" s="8">
        <v>8.3771752326993105E-4</v>
      </c>
      <c r="O23" s="1" t="str">
        <f>Table1[[#This Row],[_units]]</f>
        <v>s</v>
      </c>
      <c r="P23" s="1">
        <f>Table1[[#This Row],[_min]]</f>
        <v>0</v>
      </c>
      <c r="Q23" s="1">
        <f>Table1[[#This Row],[_max]]</f>
        <v>8.3771752326993105E-4</v>
      </c>
      <c r="R23" s="1">
        <f>Table1[[#This Row],[_mean]]</f>
        <v>8.3771752326993105E-4</v>
      </c>
      <c r="S23" s="1" t="str">
        <f t="shared" si="5"/>
        <v>queue_time</v>
      </c>
      <c r="T23" s="1" t="str">
        <f>_xlfn.CONCAT("['", C16, "' , '", C21, "']")</f>
        <v>['\chi_{2}' , 'Lq_{2}']</v>
      </c>
      <c r="U23" s="1" t="str">
        <f t="shared" si="13"/>
        <v>{}</v>
      </c>
    </row>
    <row r="24" spans="1:21" x14ac:dyDescent="0.5">
      <c r="A24" s="1">
        <v>23</v>
      </c>
      <c r="B24" s="1">
        <f t="shared" si="2"/>
        <v>3</v>
      </c>
      <c r="C24" s="1" t="str">
        <f>_xlfn.CONCAT("\lambda_{", Table1[[#This Row],[dm]],"}")</f>
        <v>\lambda_{3}</v>
      </c>
      <c r="D24" s="1" t="str">
        <f>_xlfn.CONCAT("lambda_tas_", Table1[[#This Row],[dm]])</f>
        <v>lambda_tas_3</v>
      </c>
      <c r="E24" s="1" t="str">
        <f t="shared" si="3"/>
        <v>CUSTOM</v>
      </c>
      <c r="F24" s="1" t="str">
        <f>_xlfn.CONCAT("TAS ", Table1[[#This Row],[dm]], " arrival rate")</f>
        <v>TAS 3 arrival rate</v>
      </c>
      <c r="G24" s="1" t="str">
        <f>_xlfn.CONCAT("Arrival rate for TAS ",Table1[[#This Row],[dm]])</f>
        <v>Arrival rate for TAS 3</v>
      </c>
      <c r="H24" s="1" t="b">
        <f t="shared" ref="H24:K24" si="17">H13</f>
        <v>1</v>
      </c>
      <c r="I24" s="1" t="str">
        <f t="shared" si="17"/>
        <v>IN</v>
      </c>
      <c r="J24" s="1" t="str">
        <f t="shared" si="17"/>
        <v>E*T^-1</v>
      </c>
      <c r="K24" s="1" t="str">
        <f t="shared" si="17"/>
        <v>req/s</v>
      </c>
      <c r="L24" s="1">
        <f>0.1*173.34525</f>
        <v>17.334524999999999</v>
      </c>
      <c r="M24" s="7">
        <f>1.9*173.34525</f>
        <v>329.35597499999994</v>
      </c>
      <c r="N24" s="8">
        <f>AVERAGE(Table1[[#This Row],[_min]:[_max]])</f>
        <v>173.34524999999996</v>
      </c>
      <c r="O24" s="1" t="str">
        <f>Table1[[#This Row],[_units]]</f>
        <v>req/s</v>
      </c>
      <c r="P24" s="1">
        <f>Table1[[#This Row],[_min]]</f>
        <v>17.334524999999999</v>
      </c>
      <c r="Q24" s="1">
        <f>Table1[[#This Row],[_max]]</f>
        <v>329.35597499999994</v>
      </c>
      <c r="R24" s="1">
        <f>Table1[[#This Row],[_mean]]</f>
        <v>173.34524999999996</v>
      </c>
      <c r="S24" s="1" t="str">
        <f t="shared" si="5"/>
        <v>uniform</v>
      </c>
      <c r="T24" s="1" t="str">
        <f t="shared" si="0"/>
        <v>[]</v>
      </c>
      <c r="U24" s="1" t="str">
        <f>_xlfn.CONCAT("{'low': ", Table1[[#This Row],[_std_min]], ", 'high': ",Table1[[#This Row],[_std_max]],"}")</f>
        <v>{'low': 17.334525, 'high': 329.355975}</v>
      </c>
    </row>
    <row r="25" spans="1:21" x14ac:dyDescent="0.5">
      <c r="A25" s="1">
        <v>24</v>
      </c>
      <c r="B25" s="1">
        <f t="shared" si="2"/>
        <v>3</v>
      </c>
      <c r="C25" s="1" t="str">
        <f>_xlfn.CONCAT("\mu_{",Table1[[#This Row],[dm]], "}")</f>
        <v>\mu_{3}</v>
      </c>
      <c r="D25" s="1" t="str">
        <f>_xlfn.CONCAT("mu_tas_", Table1[[#This Row],[dm]])</f>
        <v>mu_tas_3</v>
      </c>
      <c r="E25" s="1" t="str">
        <f t="shared" si="3"/>
        <v>CUSTOM</v>
      </c>
      <c r="F25" s="1" t="str">
        <f>_xlfn.CONCAT("TAS ", Table1[[#This Row],[dm]], " service rate")</f>
        <v>TAS 3 service rate</v>
      </c>
      <c r="G25" s="1" t="str">
        <f>_xlfn.CONCAT("Service rate for TAS ",Table1[[#This Row],[dm]])</f>
        <v>Service rate for TAS 3</v>
      </c>
      <c r="H25" s="1" t="b">
        <f t="shared" ref="H25:K25" si="18">H14</f>
        <v>1</v>
      </c>
      <c r="I25" s="1" t="str">
        <f t="shared" si="18"/>
        <v>CTRL</v>
      </c>
      <c r="J25" s="1" t="str">
        <f t="shared" si="18"/>
        <v>E*T^-1</v>
      </c>
      <c r="K25" s="1" t="str">
        <f t="shared" si="18"/>
        <v>req/s</v>
      </c>
      <c r="L25" s="1">
        <f>0.1*700</f>
        <v>70</v>
      </c>
      <c r="M25" s="5">
        <f>1.9*700</f>
        <v>1330</v>
      </c>
      <c r="N25" s="4">
        <f>AVERAGE(Table1[[#This Row],[_min]:[_max]])</f>
        <v>700</v>
      </c>
      <c r="O25" s="1" t="str">
        <f>Table1[[#This Row],[_units]]</f>
        <v>req/s</v>
      </c>
      <c r="P25" s="1">
        <f>Table1[[#This Row],[_min]]</f>
        <v>70</v>
      </c>
      <c r="Q25" s="1">
        <f>Table1[[#This Row],[_max]]</f>
        <v>1330</v>
      </c>
      <c r="R25" s="1">
        <f>Table1[[#This Row],[_mean]]</f>
        <v>700</v>
      </c>
      <c r="S25" s="1" t="str">
        <f t="shared" si="5"/>
        <v>uniform</v>
      </c>
      <c r="T25" s="1" t="str">
        <f t="shared" si="0"/>
        <v>[]</v>
      </c>
      <c r="U25" s="1" t="str">
        <f>_xlfn.CONCAT("{'low': ", Table1[[#This Row],[_std_min]], ", 'high': ",Table1[[#This Row],[_std_max]],"}")</f>
        <v>{'low': 70, 'high': 1330}</v>
      </c>
    </row>
    <row r="26" spans="1:21" x14ac:dyDescent="0.5">
      <c r="A26" s="1">
        <v>25</v>
      </c>
      <c r="B26" s="1">
        <f t="shared" si="2"/>
        <v>3</v>
      </c>
      <c r="C26" s="1" t="str">
        <f>_xlfn.CONCAT("err_{",Table1[[#This Row],[dm]], "}")</f>
        <v>err_{3}</v>
      </c>
      <c r="D26" s="1" t="str">
        <f>_xlfn.CONCAT("err_tas_", Table1[[#This Row],[dm]])</f>
        <v>err_tas_3</v>
      </c>
      <c r="E26" s="1" t="str">
        <f t="shared" si="3"/>
        <v>CUSTOM</v>
      </c>
      <c r="F26" s="1" t="str">
        <f>_xlfn.CONCAT("TAS ", Table1[[#This Row],[dm]], " error probability")</f>
        <v>TAS 3 error probability</v>
      </c>
      <c r="G26" s="1" t="str">
        <f>_xlfn.CONCAT("Service error probability for TAS ",Table1[[#This Row],[dm]])</f>
        <v>Service error probability for TAS 3</v>
      </c>
      <c r="H26" s="1" t="b">
        <f t="shared" ref="H26:K26" si="19">H15</f>
        <v>0</v>
      </c>
      <c r="I26" s="1" t="str">
        <f t="shared" si="19"/>
        <v>CTRL</v>
      </c>
      <c r="J26" s="1" t="str">
        <f t="shared" si="19"/>
        <v>E*T^-1</v>
      </c>
      <c r="K26" s="1" t="str">
        <f t="shared" si="19"/>
        <v>n.a.</v>
      </c>
      <c r="L26" s="3">
        <v>0</v>
      </c>
      <c r="M26" s="3">
        <v>0</v>
      </c>
      <c r="N26" s="3">
        <v>0</v>
      </c>
      <c r="O26" s="1" t="str">
        <f>Table1[[#This Row],[_units]]</f>
        <v>n.a.</v>
      </c>
      <c r="P26" s="1">
        <f>Table1[[#This Row],[_min]]</f>
        <v>0</v>
      </c>
      <c r="Q26" s="1">
        <f>Table1[[#This Row],[_max]]</f>
        <v>0</v>
      </c>
      <c r="R26" s="1">
        <f>Table1[[#This Row],[_mean]]</f>
        <v>0</v>
      </c>
      <c r="S26" s="1" t="str">
        <f t="shared" si="5"/>
        <v>adjusted_uniform</v>
      </c>
      <c r="T26" s="1" t="str">
        <f t="shared" si="0"/>
        <v>[]</v>
      </c>
      <c r="U26" s="1" t="str">
        <f>_xlfn.CONCAT("{'constant': ",Table1[[#This Row],[_std_max]],"}")</f>
        <v>{'constant': 0}</v>
      </c>
    </row>
    <row r="27" spans="1:21" x14ac:dyDescent="0.5">
      <c r="A27" s="1">
        <v>26</v>
      </c>
      <c r="B27" s="1">
        <f t="shared" si="2"/>
        <v>3</v>
      </c>
      <c r="C27" s="1" t="str">
        <f>_xlfn.CONCAT("\chi_{",Table1[[#This Row],[dm]], "}")</f>
        <v>\chi_{3}</v>
      </c>
      <c r="D27" s="1" t="str">
        <f>_xlfn.CONCAT("chi_tas_", Table1[[#This Row],[dm]])</f>
        <v>chi_tas_3</v>
      </c>
      <c r="E27" s="1" t="str">
        <f t="shared" si="3"/>
        <v>CUSTOM</v>
      </c>
      <c r="F27" s="1" t="str">
        <f>_xlfn.CONCAT("TAS ", Table1[[#This Row],[dm]], " departure rate")</f>
        <v>TAS 3 departure rate</v>
      </c>
      <c r="G27" s="1" t="str">
        <f>_xlfn.CONCAT("Departure rate for TAS ",Table1[[#This Row],[dm]])</f>
        <v>Departure rate for TAS 3</v>
      </c>
      <c r="H27" s="1" t="b">
        <f t="shared" ref="H27:K27" si="20">H16</f>
        <v>1</v>
      </c>
      <c r="I27" s="1" t="str">
        <f t="shared" si="20"/>
        <v>CTRL</v>
      </c>
      <c r="J27" s="1" t="str">
        <f t="shared" si="20"/>
        <v>E*T^-1</v>
      </c>
      <c r="K27" s="1" t="str">
        <f t="shared" si="20"/>
        <v>req/s</v>
      </c>
      <c r="L27" s="1">
        <f>0.1*173.34525</f>
        <v>17.334524999999999</v>
      </c>
      <c r="M27" s="7">
        <f>1.9*173.34525</f>
        <v>329.35597499999994</v>
      </c>
      <c r="N27" s="6">
        <f>AVERAGE(Table1[[#This Row],[_min]:[_max]])</f>
        <v>173.34524999999996</v>
      </c>
      <c r="O27" s="1" t="str">
        <f>Table1[[#This Row],[_units]]</f>
        <v>req/s</v>
      </c>
      <c r="P27" s="1">
        <f>Table1[[#This Row],[_min]]</f>
        <v>17.334524999999999</v>
      </c>
      <c r="Q27" s="1">
        <f>Table1[[#This Row],[_max]]</f>
        <v>329.35597499999994</v>
      </c>
      <c r="R27" s="1">
        <f>Table1[[#This Row],[_mean]]</f>
        <v>173.34524999999996</v>
      </c>
      <c r="S27" s="1" t="str">
        <f t="shared" si="5"/>
        <v>adjusted_rate</v>
      </c>
      <c r="T27" s="1" t="str">
        <f t="shared" ref="T27" si="21">_xlfn.CONCAT("['", C24, "' , '", C26, "']")</f>
        <v>['\lambda_{3}' , 'err_{3}']</v>
      </c>
      <c r="U27" s="1" t="str">
        <f t="shared" ref="U27" si="22">_xlfn.CONCAT("{", "}")</f>
        <v>{}</v>
      </c>
    </row>
    <row r="28" spans="1:21" x14ac:dyDescent="0.5">
      <c r="A28" s="1">
        <v>27</v>
      </c>
      <c r="B28" s="1">
        <f t="shared" si="2"/>
        <v>3</v>
      </c>
      <c r="C28" s="1" t="str">
        <f>_xlfn.CONCAT("c_{",Table1[[#This Row],[dm]], "}")</f>
        <v>c_{3}</v>
      </c>
      <c r="D28" s="1" t="str">
        <f>_xlfn.CONCAT("c_tas_", Table1[[#This Row],[dm]])</f>
        <v>c_tas_3</v>
      </c>
      <c r="E28" s="1" t="str">
        <f t="shared" si="3"/>
        <v>CUSTOM</v>
      </c>
      <c r="F28" s="1" t="str">
        <f>_xlfn.CONCAT("TAS ", Table1[[#This Row],[dm]], " resourses")</f>
        <v>TAS 3 resourses</v>
      </c>
      <c r="G28" s="1" t="str">
        <f>_xlfn.CONCAT("Number of resources allocated in TAS ",Table1[[#This Row],[dm]])</f>
        <v>Number of resources allocated in TAS 3</v>
      </c>
      <c r="H28" s="1" t="b">
        <f t="shared" ref="H28:K28" si="23">H17</f>
        <v>1</v>
      </c>
      <c r="I28" s="1" t="str">
        <f t="shared" si="23"/>
        <v>IN</v>
      </c>
      <c r="J28" s="1" t="str">
        <f t="shared" si="23"/>
        <v>E</v>
      </c>
      <c r="K28" s="1" t="str">
        <f t="shared" si="23"/>
        <v>req</v>
      </c>
      <c r="L28" s="1">
        <v>1</v>
      </c>
      <c r="M28" s="1">
        <f>Table1[[#This Row],[_min]]+2</f>
        <v>3</v>
      </c>
      <c r="N28" s="1">
        <f>AVERAGE(Table1[[#This Row],[_min]:[_max]])</f>
        <v>2</v>
      </c>
      <c r="O28" s="1" t="str">
        <f>Table1[[#This Row],[_units]]</f>
        <v>req</v>
      </c>
      <c r="P28" s="1">
        <f>Table1[[#This Row],[_min]]</f>
        <v>1</v>
      </c>
      <c r="Q28" s="1">
        <f>Table1[[#This Row],[_max]]</f>
        <v>3</v>
      </c>
      <c r="R28" s="1">
        <f>Table1[[#This Row],[_mean]]</f>
        <v>2</v>
      </c>
      <c r="S28" s="1" t="str">
        <f t="shared" si="5"/>
        <v>uniform_int</v>
      </c>
      <c r="T28" s="1" t="str">
        <f t="shared" si="0"/>
        <v>[]</v>
      </c>
      <c r="U28" s="1" t="str">
        <f>_xlfn.CONCAT("{'low': ", Table1[[#This Row],[_std_min]], ", 'high': ",Table1[[#This Row],[_std_max]],"}")</f>
        <v>{'low': 1, 'high': 3}</v>
      </c>
    </row>
    <row r="29" spans="1:21" x14ac:dyDescent="0.5">
      <c r="A29" s="1">
        <v>28</v>
      </c>
      <c r="B29" s="1">
        <f t="shared" si="2"/>
        <v>3</v>
      </c>
      <c r="C29" s="1" t="str">
        <f>_xlfn.CONCAT("K_{",Table1[[#This Row],[dm]],"}")</f>
        <v>K_{3}</v>
      </c>
      <c r="D29" s="1" t="str">
        <f>_xlfn.CONCAT("K_tas_", Table1[[#This Row],[dm]])</f>
        <v>K_tas_3</v>
      </c>
      <c r="E29" s="1" t="str">
        <f t="shared" si="3"/>
        <v>CUSTOM</v>
      </c>
      <c r="F29" s="1" t="str">
        <f>_xlfn.CONCAT("TAS ", Table1[[#This Row],[dm]], " q-capacity")</f>
        <v>TAS 3 q-capacity</v>
      </c>
      <c r="G29" s="1" t="str">
        <f>_xlfn.CONCAT("Allocated request capacity in TAS ",Table1[[#This Row],[dm]]," memory buffer")</f>
        <v>Allocated request capacity in TAS 3 memory buffer</v>
      </c>
      <c r="H29" s="1" t="b">
        <f t="shared" ref="H29:K29" si="24">H18</f>
        <v>1</v>
      </c>
      <c r="I29" s="1" t="str">
        <f t="shared" si="24"/>
        <v>CTRL</v>
      </c>
      <c r="J29" s="1" t="str">
        <f t="shared" si="24"/>
        <v>E</v>
      </c>
      <c r="K29" s="1" t="str">
        <f t="shared" si="24"/>
        <v>req</v>
      </c>
      <c r="L29" s="1">
        <v>1</v>
      </c>
      <c r="M29" s="1">
        <f>Table1[[#This Row],[_min]]+10</f>
        <v>11</v>
      </c>
      <c r="N29" s="1">
        <f>AVERAGE(Table1[[#This Row],[_min]:[_max]])</f>
        <v>6</v>
      </c>
      <c r="O29" s="1" t="str">
        <f>Table1[[#This Row],[_units]]</f>
        <v>req</v>
      </c>
      <c r="P29" s="1">
        <f>Table1[[#This Row],[_min]]</f>
        <v>1</v>
      </c>
      <c r="Q29" s="1">
        <f>Table1[[#This Row],[_max]]</f>
        <v>11</v>
      </c>
      <c r="R29" s="1">
        <f>Table1[[#This Row],[_mean]]</f>
        <v>6</v>
      </c>
      <c r="S29" s="1" t="str">
        <f t="shared" si="5"/>
        <v>shifted_uniform_int</v>
      </c>
      <c r="T29" s="1" t="str">
        <f t="shared" ref="T29" si="25">_xlfn.CONCAT("['", C28, "']")</f>
        <v>['c_{3}']</v>
      </c>
      <c r="U29" s="1" t="str">
        <f>_xlfn.CONCAT("{'low': ", Table1[[#This Row],[_std_min]], ", 'high': ",Table1[[#This Row],[_std_max]],"}")</f>
        <v>{'low': 1, 'high': 11}</v>
      </c>
    </row>
    <row r="30" spans="1:21" x14ac:dyDescent="0.5">
      <c r="A30" s="1">
        <v>29</v>
      </c>
      <c r="B30" s="1">
        <f t="shared" si="2"/>
        <v>3</v>
      </c>
      <c r="C30" s="1" t="str">
        <f>_xlfn.CONCAT("\delta_{", Table1[[#This Row],[dm]],"}")</f>
        <v>\delta_{3}</v>
      </c>
      <c r="D30" s="1" t="str">
        <f>_xlfn.CONCAT("delta_tas_", Table1[[#This Row],[dm]])</f>
        <v>delta_tas_3</v>
      </c>
      <c r="E30" s="1" t="str">
        <f t="shared" si="3"/>
        <v>CUSTOM</v>
      </c>
      <c r="F30" s="1" t="str">
        <f>_xlfn.CONCAT("TAS ", Table1[[#This Row],[dm]], " req data density")</f>
        <v>TAS 3 req data density</v>
      </c>
      <c r="G30" s="1" t="str">
        <f>_xlfn.CONCAT("Data density for request in TAS ", Table1[[#This Row],[dm]], " expected data per requests")</f>
        <v>Data density for request in TAS 3 expected data per requests</v>
      </c>
      <c r="H30" s="1" t="b">
        <f t="shared" ref="H30:K30" si="26">H19</f>
        <v>0</v>
      </c>
      <c r="I30" s="1" t="str">
        <f t="shared" si="26"/>
        <v>IN</v>
      </c>
      <c r="J30" s="1" t="str">
        <f t="shared" si="26"/>
        <v>D*E^-1</v>
      </c>
      <c r="K30" s="1" t="str">
        <f t="shared" si="26"/>
        <v>kB/req</v>
      </c>
      <c r="L30" s="1">
        <v>128</v>
      </c>
      <c r="M30" s="1">
        <f>2*1000</f>
        <v>2000</v>
      </c>
      <c r="N30" s="1">
        <f>AVERAGE(Table1[[#This Row],[_min]:[_max]])</f>
        <v>1064</v>
      </c>
      <c r="O30" s="1" t="s">
        <v>11</v>
      </c>
      <c r="P30" s="1">
        <f>Table1[[#This Row],[_min]]*1024000</f>
        <v>131072000</v>
      </c>
      <c r="Q30" s="1">
        <f>Table1[[#This Row],[_max]]*1024000</f>
        <v>2048000000</v>
      </c>
      <c r="R30" s="1">
        <f>Table1[[#This Row],[_mean]]*1024000</f>
        <v>1089536000</v>
      </c>
      <c r="S30" s="1" t="str">
        <f t="shared" si="5"/>
        <v>uniform</v>
      </c>
      <c r="T30" s="1" t="str">
        <f t="shared" si="0"/>
        <v>[]</v>
      </c>
      <c r="U30" s="1" t="str">
        <f>_xlfn.CONCAT("{'low': ", Table1[[#This Row],[_std_min]], ", 'high': ",Table1[[#This Row],[_std_max]],"}")</f>
        <v>{'low': 131072000, 'high': 2048000000}</v>
      </c>
    </row>
    <row r="31" spans="1:21" x14ac:dyDescent="0.5">
      <c r="A31" s="1">
        <v>30</v>
      </c>
      <c r="B31" s="1">
        <f t="shared" si="2"/>
        <v>3</v>
      </c>
      <c r="C31" s="1" t="str">
        <f>_xlfn.CONCAT("L_{",Table1[[#This Row],[dm]], "}")</f>
        <v>L_{3}</v>
      </c>
      <c r="D31" s="1" t="str">
        <f>_xlfn.CONCAT("L_tas_", Table1[[#This Row],[dm]])</f>
        <v>L_tas_3</v>
      </c>
      <c r="E31" s="1" t="str">
        <f t="shared" si="3"/>
        <v>CUSTOM</v>
      </c>
      <c r="F31" s="1" t="str">
        <f>_xlfn.CONCAT("TAS ", Table1[[#This Row],[dm]], " mean processing requests")</f>
        <v>TAS 3 mean processing requests</v>
      </c>
      <c r="G31" s="1" t="str">
        <f>_xlfn.CONCAT("Average number of request in TAS ",Table1[[#This Row],[dm]], " component")</f>
        <v>Average number of request in TAS 3 component</v>
      </c>
      <c r="H31" s="1" t="b">
        <f t="shared" ref="H31:K31" si="27">H20</f>
        <v>1</v>
      </c>
      <c r="I31" s="1" t="str">
        <f t="shared" si="27"/>
        <v>CTRL</v>
      </c>
      <c r="J31" s="1" t="str">
        <f t="shared" si="27"/>
        <v>E</v>
      </c>
      <c r="K31" s="1" t="str">
        <f t="shared" si="27"/>
        <v>req</v>
      </c>
      <c r="L31" s="1">
        <v>1</v>
      </c>
      <c r="M31" s="1">
        <f>Table1[[#This Row],[_min]]+10</f>
        <v>11</v>
      </c>
      <c r="N31" s="1">
        <f>AVERAGE(Table1[[#This Row],[_min]:[_max]])</f>
        <v>6</v>
      </c>
      <c r="O31" s="1" t="str">
        <f>Table1[[#This Row],[_units]]</f>
        <v>req</v>
      </c>
      <c r="P31" s="1">
        <f>Table1[[#This Row],[_min]]</f>
        <v>1</v>
      </c>
      <c r="Q31" s="1">
        <f>Table1[[#This Row],[_max]]</f>
        <v>11</v>
      </c>
      <c r="R31" s="1">
        <f>Table1[[#This Row],[_mean]]</f>
        <v>6</v>
      </c>
      <c r="S31" s="1" t="str">
        <f t="shared" si="5"/>
        <v>queue_length</v>
      </c>
      <c r="T31" s="1" t="str">
        <f t="shared" ref="T31" si="28">_xlfn.CONCAT("['", C24, "' , '", C25, "' , '", C28, "' , '", C29, "']")</f>
        <v>['\lambda_{3}' , '\mu_{3}' , 'c_{3}' , 'K_{3}']</v>
      </c>
      <c r="U31" s="1" t="str">
        <f t="shared" ref="U31:U34" si="29">_xlfn.CONCAT("{", "}")</f>
        <v>{}</v>
      </c>
    </row>
    <row r="32" spans="1:21" x14ac:dyDescent="0.5">
      <c r="A32" s="1">
        <v>31</v>
      </c>
      <c r="B32" s="1">
        <f t="shared" si="2"/>
        <v>3</v>
      </c>
      <c r="C32" s="1" t="str">
        <f>_xlfn.CONCAT("Lq_{",Table1[[#This Row],[dm]], "}")</f>
        <v>Lq_{3}</v>
      </c>
      <c r="D32" s="1" t="str">
        <f>_xlfn.CONCAT("Lq_tas_", Table1[[#This Row],[dm]])</f>
        <v>Lq_tas_3</v>
      </c>
      <c r="E32" s="1" t="str">
        <f t="shared" si="3"/>
        <v>CUSTOM</v>
      </c>
      <c r="F32" s="1" t="str">
        <f>_xlfn.CONCAT("TAS ", Table1[[#This Row],[dm]], " mean in memory requests")</f>
        <v>TAS 3 mean in memory requests</v>
      </c>
      <c r="G32" s="1" t="str">
        <f>_xlfn.CONCAT("Average number of request in TAS ",Table1[[#This Row],[dm]], " memory")</f>
        <v>Average number of request in TAS 3 memory</v>
      </c>
      <c r="H32" s="1" t="b">
        <f t="shared" ref="H32:K32" si="30">H21</f>
        <v>0</v>
      </c>
      <c r="I32" s="1" t="str">
        <f t="shared" si="30"/>
        <v>CTRL</v>
      </c>
      <c r="J32" s="1" t="str">
        <f t="shared" si="30"/>
        <v>E</v>
      </c>
      <c r="K32" s="1" t="str">
        <f t="shared" si="30"/>
        <v>req</v>
      </c>
      <c r="L32" s="1">
        <v>1</v>
      </c>
      <c r="M32" s="1">
        <f>Table1[[#This Row],[_min]]+10</f>
        <v>11</v>
      </c>
      <c r="N32" s="1">
        <f>AVERAGE(Table1[[#This Row],[_min]:[_max]])</f>
        <v>6</v>
      </c>
      <c r="O32" s="1" t="str">
        <f>Table1[[#This Row],[_units]]</f>
        <v>req</v>
      </c>
      <c r="P32" s="1">
        <f>Table1[[#This Row],[_min]]</f>
        <v>1</v>
      </c>
      <c r="Q32" s="1">
        <f>Table1[[#This Row],[_max]]</f>
        <v>11</v>
      </c>
      <c r="R32" s="1">
        <f>Table1[[#This Row],[_mean]]</f>
        <v>6</v>
      </c>
      <c r="S32" s="1" t="str">
        <f t="shared" si="5"/>
        <v>queue_length</v>
      </c>
      <c r="T32" s="1" t="str">
        <f t="shared" ref="T32" si="31">_xlfn.CONCAT("['", C24, "' , '", C25, "' , '", C28, "' , '", C29, "']")</f>
        <v>['\lambda_{3}' , '\mu_{3}' , 'c_{3}' , 'K_{3}']</v>
      </c>
      <c r="U32" s="1" t="str">
        <f t="shared" si="29"/>
        <v>{}</v>
      </c>
    </row>
    <row r="33" spans="1:21" x14ac:dyDescent="0.5">
      <c r="A33" s="1">
        <v>32</v>
      </c>
      <c r="B33" s="1">
        <f t="shared" si="2"/>
        <v>3</v>
      </c>
      <c r="C33" s="1" t="str">
        <f>_xlfn.CONCAT("W_{",Table1[[#This Row],[dm]], "}")</f>
        <v>W_{3}</v>
      </c>
      <c r="D33" s="1" t="str">
        <f>_xlfn.CONCAT("W_tas_", Table1[[#This Row],[dm]])</f>
        <v>W_tas_3</v>
      </c>
      <c r="E33" s="1" t="str">
        <f t="shared" si="3"/>
        <v>CUSTOM</v>
      </c>
      <c r="F33" s="1" t="str">
        <f>_xlfn.CONCAT("TAS ", Table1[[#This Row],[dm]], " mean time to answer")</f>
        <v>TAS 3 mean time to answer</v>
      </c>
      <c r="G33" s="1" t="str">
        <f>_xlfn.CONCAT("Average time to complete a request in TAS ",Table1[[#This Row],[dm]])</f>
        <v>Average time to complete a request in TAS 3</v>
      </c>
      <c r="H33" s="1" t="b">
        <f t="shared" ref="H33:K33" si="32">H22</f>
        <v>1</v>
      </c>
      <c r="I33" s="1" t="str">
        <f t="shared" si="32"/>
        <v>OUT</v>
      </c>
      <c r="J33" s="1" t="str">
        <f t="shared" si="32"/>
        <v>T</v>
      </c>
      <c r="K33" s="1" t="str">
        <f t="shared" si="32"/>
        <v>s</v>
      </c>
      <c r="L33" s="1">
        <v>0</v>
      </c>
      <c r="M33" s="8">
        <v>1.89877714005237E-3</v>
      </c>
      <c r="N33" s="8">
        <v>1.89877714005237E-3</v>
      </c>
      <c r="O33" s="1" t="str">
        <f>Table1[[#This Row],[_units]]</f>
        <v>s</v>
      </c>
      <c r="P33" s="1">
        <f>Table1[[#This Row],[_min]]</f>
        <v>0</v>
      </c>
      <c r="Q33" s="1">
        <f>Table1[[#This Row],[_max]]</f>
        <v>1.89877714005237E-3</v>
      </c>
      <c r="R33" s="1">
        <f>Table1[[#This Row],[_mean]]</f>
        <v>1.89877714005237E-3</v>
      </c>
      <c r="S33" s="1" t="str">
        <f t="shared" si="5"/>
        <v>queue_time</v>
      </c>
      <c r="T33" s="1" t="str">
        <f t="shared" ref="T33" si="33">_xlfn.CONCAT("['", C27, "' , '", C31, "']")</f>
        <v>['\chi_{3}' , 'L_{3}']</v>
      </c>
      <c r="U33" s="1" t="str">
        <f t="shared" si="29"/>
        <v>{}</v>
      </c>
    </row>
    <row r="34" spans="1:21" x14ac:dyDescent="0.5">
      <c r="A34" s="1">
        <v>33</v>
      </c>
      <c r="B34" s="1">
        <f t="shared" si="2"/>
        <v>3</v>
      </c>
      <c r="C34" s="1" t="str">
        <f>_xlfn.CONCAT("Wq_{",Table1[[#This Row],[dm]], "}")</f>
        <v>Wq_{3}</v>
      </c>
      <c r="D34" s="1" t="str">
        <f>_xlfn.CONCAT("Wq_tas_", Table1[[#This Row],[dm]])</f>
        <v>Wq_tas_3</v>
      </c>
      <c r="E34" s="1" t="str">
        <f t="shared" si="3"/>
        <v>CUSTOM</v>
      </c>
      <c r="F34" s="1" t="str">
        <f>_xlfn.CONCAT("TAS ", Table1[[#This Row],[dm]], " mean time in buffer")</f>
        <v>TAS 3 mean time in buffer</v>
      </c>
      <c r="G34" s="1" t="str">
        <f>_xlfn.CONCAT("Average time for a request to transit the buffer in TAS ",Table1[[#This Row],[dm]])</f>
        <v>Average time for a request to transit the buffer in TAS 3</v>
      </c>
      <c r="H34" s="1" t="b">
        <f t="shared" ref="H34:K34" si="34">H23</f>
        <v>0</v>
      </c>
      <c r="I34" s="1" t="str">
        <f t="shared" si="34"/>
        <v>CTRL</v>
      </c>
      <c r="J34" s="1" t="str">
        <f t="shared" si="34"/>
        <v>T</v>
      </c>
      <c r="K34" s="1" t="str">
        <f t="shared" si="34"/>
        <v>s</v>
      </c>
      <c r="L34" s="1">
        <v>0</v>
      </c>
      <c r="M34" s="8">
        <v>4.7020571148094899E-4</v>
      </c>
      <c r="N34" s="8">
        <v>4.7020571148094899E-4</v>
      </c>
      <c r="O34" s="1" t="str">
        <f>Table1[[#This Row],[_units]]</f>
        <v>s</v>
      </c>
      <c r="P34" s="1">
        <f>Table1[[#This Row],[_min]]</f>
        <v>0</v>
      </c>
      <c r="Q34" s="1">
        <f>Table1[[#This Row],[_max]]</f>
        <v>4.7020571148094899E-4</v>
      </c>
      <c r="R34" s="1">
        <f>Table1[[#This Row],[_mean]]</f>
        <v>4.7020571148094899E-4</v>
      </c>
      <c r="S34" s="1" t="str">
        <f t="shared" si="5"/>
        <v>queue_time</v>
      </c>
      <c r="T34" s="1" t="str">
        <f t="shared" ref="T34" si="35">_xlfn.CONCAT("['", C27, "' , '", C32, "']")</f>
        <v>['\chi_{3}' , 'Lq_{3}']</v>
      </c>
      <c r="U34" s="1" t="str">
        <f t="shared" si="29"/>
        <v>{}</v>
      </c>
    </row>
    <row r="35" spans="1:21" x14ac:dyDescent="0.5">
      <c r="A35" s="1">
        <v>34</v>
      </c>
      <c r="B35" s="1">
        <f t="shared" si="2"/>
        <v>4</v>
      </c>
      <c r="C35" s="1" t="str">
        <f>_xlfn.CONCAT("\lambda_{", Table1[[#This Row],[dm]],"}")</f>
        <v>\lambda_{4}</v>
      </c>
      <c r="D35" s="1" t="str">
        <f>_xlfn.CONCAT("lambda_tas_", Table1[[#This Row],[dm]])</f>
        <v>lambda_tas_4</v>
      </c>
      <c r="E35" s="1" t="str">
        <f t="shared" si="3"/>
        <v>CUSTOM</v>
      </c>
      <c r="F35" s="1" t="str">
        <f>_xlfn.CONCAT("TAS ", Table1[[#This Row],[dm]], " arrival rate")</f>
        <v>TAS 4 arrival rate</v>
      </c>
      <c r="G35" s="1" t="str">
        <f>_xlfn.CONCAT("Arrival rate for TAS ",Table1[[#This Row],[dm]])</f>
        <v>Arrival rate for TAS 4</v>
      </c>
      <c r="H35" s="1" t="b">
        <f t="shared" ref="H35:K35" si="36">H24</f>
        <v>1</v>
      </c>
      <c r="I35" s="1" t="str">
        <f t="shared" si="36"/>
        <v>IN</v>
      </c>
      <c r="J35" s="1" t="str">
        <f t="shared" si="36"/>
        <v>E*T^-1</v>
      </c>
      <c r="K35" s="1" t="str">
        <f t="shared" si="36"/>
        <v>req/s</v>
      </c>
      <c r="L35" s="1">
        <f>0.1*97.03125</f>
        <v>9.703125</v>
      </c>
      <c r="M35" s="7">
        <f>1.9*97.03125</f>
        <v>184.359375</v>
      </c>
      <c r="N35" s="8">
        <f>AVERAGE(Table1[[#This Row],[_min]:[_max]])</f>
        <v>97.03125</v>
      </c>
      <c r="O35" s="1" t="str">
        <f>Table1[[#This Row],[_units]]</f>
        <v>req/s</v>
      </c>
      <c r="P35" s="1">
        <f>Table1[[#This Row],[_min]]</f>
        <v>9.703125</v>
      </c>
      <c r="Q35" s="1">
        <f>Table1[[#This Row],[_max]]</f>
        <v>184.359375</v>
      </c>
      <c r="R35" s="1">
        <f>Table1[[#This Row],[_mean]]</f>
        <v>97.03125</v>
      </c>
      <c r="S35" s="1" t="str">
        <f t="shared" si="5"/>
        <v>uniform</v>
      </c>
      <c r="T35" s="1" t="str">
        <f t="shared" si="0"/>
        <v>[]</v>
      </c>
      <c r="U35" s="1" t="str">
        <f>_xlfn.CONCAT("{'low': ", Table1[[#This Row],[_std_min]], ", 'high': ",Table1[[#This Row],[_std_max]],"}")</f>
        <v>{'low': 9.703125, 'high': 184.359375}</v>
      </c>
    </row>
    <row r="36" spans="1:21" x14ac:dyDescent="0.5">
      <c r="A36" s="1">
        <v>35</v>
      </c>
      <c r="B36" s="1">
        <f t="shared" si="2"/>
        <v>4</v>
      </c>
      <c r="C36" s="1" t="str">
        <f>_xlfn.CONCAT("\mu_{",Table1[[#This Row],[dm]], "}")</f>
        <v>\mu_{4}</v>
      </c>
      <c r="D36" s="1" t="str">
        <f>_xlfn.CONCAT("mu_tas_", Table1[[#This Row],[dm]])</f>
        <v>mu_tas_4</v>
      </c>
      <c r="E36" s="1" t="str">
        <f t="shared" si="3"/>
        <v>CUSTOM</v>
      </c>
      <c r="F36" s="1" t="str">
        <f>_xlfn.CONCAT("TAS ", Table1[[#This Row],[dm]], " service rate")</f>
        <v>TAS 4 service rate</v>
      </c>
      <c r="G36" s="1" t="str">
        <f>_xlfn.CONCAT("Service rate for TAS ",Table1[[#This Row],[dm]])</f>
        <v>Service rate for TAS 4</v>
      </c>
      <c r="H36" s="1" t="b">
        <f t="shared" ref="H36:K36" si="37">H25</f>
        <v>1</v>
      </c>
      <c r="I36" s="1" t="str">
        <f t="shared" si="37"/>
        <v>CTRL</v>
      </c>
      <c r="J36" s="1" t="str">
        <f t="shared" si="37"/>
        <v>E*T^-1</v>
      </c>
      <c r="K36" s="1" t="str">
        <f t="shared" si="37"/>
        <v>req/s</v>
      </c>
      <c r="L36" s="1">
        <f>0.1*180</f>
        <v>18</v>
      </c>
      <c r="M36" s="5">
        <f>1.9*180</f>
        <v>342</v>
      </c>
      <c r="N36" s="4">
        <f>AVERAGE(Table1[[#This Row],[_min]:[_max]])</f>
        <v>180</v>
      </c>
      <c r="O36" s="1" t="str">
        <f>Table1[[#This Row],[_units]]</f>
        <v>req/s</v>
      </c>
      <c r="P36" s="1">
        <f>Table1[[#This Row],[_min]]</f>
        <v>18</v>
      </c>
      <c r="Q36" s="1">
        <f>Table1[[#This Row],[_max]]</f>
        <v>342</v>
      </c>
      <c r="R36" s="1">
        <f>Table1[[#This Row],[_mean]]</f>
        <v>180</v>
      </c>
      <c r="S36" s="1" t="str">
        <f t="shared" si="5"/>
        <v>uniform</v>
      </c>
      <c r="T36" s="1" t="str">
        <f t="shared" si="0"/>
        <v>[]</v>
      </c>
      <c r="U36" s="1" t="str">
        <f>_xlfn.CONCAT("{'low': ", Table1[[#This Row],[_std_min]], ", 'high': ",Table1[[#This Row],[_std_max]],"}")</f>
        <v>{'low': 18, 'high': 342}</v>
      </c>
    </row>
    <row r="37" spans="1:21" x14ac:dyDescent="0.5">
      <c r="A37" s="1">
        <v>36</v>
      </c>
      <c r="B37" s="1">
        <f t="shared" si="2"/>
        <v>4</v>
      </c>
      <c r="C37" s="1" t="str">
        <f>_xlfn.CONCAT("err_{",Table1[[#This Row],[dm]], "}")</f>
        <v>err_{4}</v>
      </c>
      <c r="D37" s="1" t="str">
        <f>_xlfn.CONCAT("err_tas_", Table1[[#This Row],[dm]])</f>
        <v>err_tas_4</v>
      </c>
      <c r="E37" s="1" t="str">
        <f t="shared" si="3"/>
        <v>CUSTOM</v>
      </c>
      <c r="F37" s="1" t="str">
        <f>_xlfn.CONCAT("TAS ", Table1[[#This Row],[dm]], " error probability")</f>
        <v>TAS 4 error probability</v>
      </c>
      <c r="G37" s="1" t="str">
        <f>_xlfn.CONCAT("Service error probability for TAS ",Table1[[#This Row],[dm]])</f>
        <v>Service error probability for TAS 4</v>
      </c>
      <c r="H37" s="1" t="b">
        <f t="shared" ref="H37:K37" si="38">H26</f>
        <v>0</v>
      </c>
      <c r="I37" s="1" t="str">
        <f t="shared" si="38"/>
        <v>CTRL</v>
      </c>
      <c r="J37" s="1" t="str">
        <f t="shared" si="38"/>
        <v>E*T^-1</v>
      </c>
      <c r="K37" s="1" t="str">
        <f t="shared" si="38"/>
        <v>n.a.</v>
      </c>
      <c r="L37" s="3">
        <v>0.12</v>
      </c>
      <c r="M37" s="3">
        <v>0.12</v>
      </c>
      <c r="N37" s="3">
        <v>0.12</v>
      </c>
      <c r="O37" s="1" t="str">
        <f>Table1[[#This Row],[_units]]</f>
        <v>n.a.</v>
      </c>
      <c r="P37" s="1">
        <f>Table1[[#This Row],[_min]]</f>
        <v>0.12</v>
      </c>
      <c r="Q37" s="1">
        <f>Table1[[#This Row],[_max]]</f>
        <v>0.12</v>
      </c>
      <c r="R37" s="1">
        <f>Table1[[#This Row],[_mean]]</f>
        <v>0.12</v>
      </c>
      <c r="S37" s="1" t="str">
        <f t="shared" si="5"/>
        <v>adjusted_uniform</v>
      </c>
      <c r="T37" s="1" t="str">
        <f t="shared" si="0"/>
        <v>[]</v>
      </c>
      <c r="U37" s="1" t="str">
        <f>_xlfn.CONCAT("{'constant': ",Table1[[#This Row],[_std_max]],"}")</f>
        <v>{'constant': 0.12}</v>
      </c>
    </row>
    <row r="38" spans="1:21" x14ac:dyDescent="0.5">
      <c r="A38" s="1">
        <v>37</v>
      </c>
      <c r="B38" s="1">
        <f t="shared" si="2"/>
        <v>4</v>
      </c>
      <c r="C38" s="1" t="str">
        <f>_xlfn.CONCAT("\chi_{",Table1[[#This Row],[dm]], "}")</f>
        <v>\chi_{4}</v>
      </c>
      <c r="D38" s="1" t="str">
        <f>_xlfn.CONCAT("chi_tas_", Table1[[#This Row],[dm]])</f>
        <v>chi_tas_4</v>
      </c>
      <c r="E38" s="1" t="str">
        <f t="shared" si="3"/>
        <v>CUSTOM</v>
      </c>
      <c r="F38" s="1" t="str">
        <f>_xlfn.CONCAT("TAS ", Table1[[#This Row],[dm]], " departure rate")</f>
        <v>TAS 4 departure rate</v>
      </c>
      <c r="G38" s="1" t="str">
        <f>_xlfn.CONCAT("Departure rate for TAS ",Table1[[#This Row],[dm]])</f>
        <v>Departure rate for TAS 4</v>
      </c>
      <c r="H38" s="1" t="b">
        <f t="shared" ref="H38:K38" si="39">H27</f>
        <v>1</v>
      </c>
      <c r="I38" s="1" t="str">
        <f t="shared" si="39"/>
        <v>CTRL</v>
      </c>
      <c r="J38" s="1" t="str">
        <f t="shared" si="39"/>
        <v>E*T^-1</v>
      </c>
      <c r="K38" s="1" t="str">
        <f t="shared" si="39"/>
        <v>req/s</v>
      </c>
      <c r="L38" s="1">
        <f>0.1*97.03125</f>
        <v>9.703125</v>
      </c>
      <c r="M38" s="7">
        <f>1.9*97.03125</f>
        <v>184.359375</v>
      </c>
      <c r="N38" s="6">
        <f>AVERAGE(Table1[[#This Row],[_min]:[_max]])</f>
        <v>97.03125</v>
      </c>
      <c r="O38" s="1" t="str">
        <f>Table1[[#This Row],[_units]]</f>
        <v>req/s</v>
      </c>
      <c r="P38" s="1">
        <f>Table1[[#This Row],[_min]]</f>
        <v>9.703125</v>
      </c>
      <c r="Q38" s="1">
        <f>Table1[[#This Row],[_max]]</f>
        <v>184.359375</v>
      </c>
      <c r="R38" s="1">
        <f>Table1[[#This Row],[_mean]]</f>
        <v>97.03125</v>
      </c>
      <c r="S38" s="1" t="str">
        <f t="shared" si="5"/>
        <v>adjusted_rate</v>
      </c>
      <c r="T38" s="1" t="str">
        <f t="shared" ref="T38" si="40">_xlfn.CONCAT("['", C35, "' , '", C37, "']")</f>
        <v>['\lambda_{4}' , 'err_{4}']</v>
      </c>
      <c r="U38" s="1" t="str">
        <f t="shared" ref="U38" si="41">_xlfn.CONCAT("{", "}")</f>
        <v>{}</v>
      </c>
    </row>
    <row r="39" spans="1:21" x14ac:dyDescent="0.5">
      <c r="A39" s="1">
        <v>38</v>
      </c>
      <c r="B39" s="1">
        <f t="shared" si="2"/>
        <v>4</v>
      </c>
      <c r="C39" s="1" t="str">
        <f>_xlfn.CONCAT("c_{",Table1[[#This Row],[dm]], "}")</f>
        <v>c_{4}</v>
      </c>
      <c r="D39" s="1" t="str">
        <f>_xlfn.CONCAT("c_tas_", Table1[[#This Row],[dm]])</f>
        <v>c_tas_4</v>
      </c>
      <c r="E39" s="1" t="str">
        <f t="shared" si="3"/>
        <v>CUSTOM</v>
      </c>
      <c r="F39" s="1" t="str">
        <f>_xlfn.CONCAT("TAS ", Table1[[#This Row],[dm]], " resourses")</f>
        <v>TAS 4 resourses</v>
      </c>
      <c r="G39" s="1" t="str">
        <f>_xlfn.CONCAT("Number of resources allocated in TAS ",Table1[[#This Row],[dm]])</f>
        <v>Number of resources allocated in TAS 4</v>
      </c>
      <c r="H39" s="1" t="b">
        <f t="shared" ref="H39:K39" si="42">H28</f>
        <v>1</v>
      </c>
      <c r="I39" s="1" t="str">
        <f t="shared" si="42"/>
        <v>IN</v>
      </c>
      <c r="J39" s="1" t="str">
        <f t="shared" si="42"/>
        <v>E</v>
      </c>
      <c r="K39" s="1" t="str">
        <f t="shared" si="42"/>
        <v>req</v>
      </c>
      <c r="L39" s="1">
        <v>1</v>
      </c>
      <c r="M39" s="1">
        <f>Table1[[#This Row],[_min]]+2</f>
        <v>3</v>
      </c>
      <c r="N39" s="1">
        <f>AVERAGE(Table1[[#This Row],[_min]:[_max]])</f>
        <v>2</v>
      </c>
      <c r="O39" s="1" t="str">
        <f>Table1[[#This Row],[_units]]</f>
        <v>req</v>
      </c>
      <c r="P39" s="1">
        <f>Table1[[#This Row],[_min]]</f>
        <v>1</v>
      </c>
      <c r="Q39" s="1">
        <f>Table1[[#This Row],[_max]]</f>
        <v>3</v>
      </c>
      <c r="R39" s="1">
        <f>Table1[[#This Row],[_mean]]</f>
        <v>2</v>
      </c>
      <c r="S39" s="1" t="str">
        <f t="shared" si="5"/>
        <v>uniform_int</v>
      </c>
      <c r="T39" s="1" t="str">
        <f t="shared" si="0"/>
        <v>[]</v>
      </c>
      <c r="U39" s="1" t="str">
        <f>_xlfn.CONCAT("{'low': ", Table1[[#This Row],[_std_min]], ", 'high': ",Table1[[#This Row],[_std_max]],"}")</f>
        <v>{'low': 1, 'high': 3}</v>
      </c>
    </row>
    <row r="40" spans="1:21" x14ac:dyDescent="0.5">
      <c r="A40" s="1">
        <v>39</v>
      </c>
      <c r="B40" s="1">
        <f t="shared" si="2"/>
        <v>4</v>
      </c>
      <c r="C40" s="1" t="str">
        <f>_xlfn.CONCAT("K_{",Table1[[#This Row],[dm]],"}")</f>
        <v>K_{4}</v>
      </c>
      <c r="D40" s="1" t="str">
        <f>_xlfn.CONCAT("K_tas_", Table1[[#This Row],[dm]])</f>
        <v>K_tas_4</v>
      </c>
      <c r="E40" s="1" t="str">
        <f t="shared" si="3"/>
        <v>CUSTOM</v>
      </c>
      <c r="F40" s="1" t="str">
        <f>_xlfn.CONCAT("TAS ", Table1[[#This Row],[dm]], " q-capacity")</f>
        <v>TAS 4 q-capacity</v>
      </c>
      <c r="G40" s="1" t="str">
        <f>_xlfn.CONCAT("Allocated request capacity in TAS ",Table1[[#This Row],[dm]]," memory buffer")</f>
        <v>Allocated request capacity in TAS 4 memory buffer</v>
      </c>
      <c r="H40" s="1" t="b">
        <f t="shared" ref="H40:K40" si="43">H29</f>
        <v>1</v>
      </c>
      <c r="I40" s="1" t="str">
        <f t="shared" si="43"/>
        <v>CTRL</v>
      </c>
      <c r="J40" s="1" t="str">
        <f t="shared" si="43"/>
        <v>E</v>
      </c>
      <c r="K40" s="1" t="str">
        <f t="shared" si="43"/>
        <v>req</v>
      </c>
      <c r="L40" s="1">
        <v>1</v>
      </c>
      <c r="M40" s="1">
        <f>Table1[[#This Row],[_min]]+10</f>
        <v>11</v>
      </c>
      <c r="N40" s="1">
        <f>AVERAGE(Table1[[#This Row],[_min]:[_max]])</f>
        <v>6</v>
      </c>
      <c r="O40" s="1" t="str">
        <f>Table1[[#This Row],[_units]]</f>
        <v>req</v>
      </c>
      <c r="P40" s="1">
        <f>Table1[[#This Row],[_min]]</f>
        <v>1</v>
      </c>
      <c r="Q40" s="1">
        <f>Table1[[#This Row],[_max]]</f>
        <v>11</v>
      </c>
      <c r="R40" s="1">
        <f>Table1[[#This Row],[_mean]]</f>
        <v>6</v>
      </c>
      <c r="S40" s="1" t="str">
        <f t="shared" si="5"/>
        <v>shifted_uniform_int</v>
      </c>
      <c r="T40" s="1" t="str">
        <f t="shared" ref="T40" si="44">_xlfn.CONCAT("['", C39, "']")</f>
        <v>['c_{4}']</v>
      </c>
      <c r="U40" s="1" t="str">
        <f>_xlfn.CONCAT("{'low': ", Table1[[#This Row],[_std_min]], ", 'high': ",Table1[[#This Row],[_std_max]],"}")</f>
        <v>{'low': 1, 'high': 11}</v>
      </c>
    </row>
    <row r="41" spans="1:21" x14ac:dyDescent="0.5">
      <c r="A41" s="1">
        <v>40</v>
      </c>
      <c r="B41" s="1">
        <f t="shared" si="2"/>
        <v>4</v>
      </c>
      <c r="C41" s="1" t="str">
        <f>_xlfn.CONCAT("\delta_{", Table1[[#This Row],[dm]],"}")</f>
        <v>\delta_{4}</v>
      </c>
      <c r="D41" s="1" t="str">
        <f>_xlfn.CONCAT("delta_tas_", Table1[[#This Row],[dm]])</f>
        <v>delta_tas_4</v>
      </c>
      <c r="E41" s="1" t="str">
        <f t="shared" si="3"/>
        <v>CUSTOM</v>
      </c>
      <c r="F41" s="1" t="str">
        <f>_xlfn.CONCAT("TAS ", Table1[[#This Row],[dm]], " req data density")</f>
        <v>TAS 4 req data density</v>
      </c>
      <c r="G41" s="1" t="str">
        <f>_xlfn.CONCAT("Data density for request in TAS ", Table1[[#This Row],[dm]], " expected data per requests")</f>
        <v>Data density for request in TAS 4 expected data per requests</v>
      </c>
      <c r="H41" s="1" t="b">
        <f t="shared" ref="H41:K41" si="45">H30</f>
        <v>0</v>
      </c>
      <c r="I41" s="1" t="str">
        <f t="shared" si="45"/>
        <v>IN</v>
      </c>
      <c r="J41" s="1" t="str">
        <f t="shared" si="45"/>
        <v>D*E^-1</v>
      </c>
      <c r="K41" s="1" t="str">
        <f t="shared" si="45"/>
        <v>kB/req</v>
      </c>
      <c r="L41" s="1">
        <v>128</v>
      </c>
      <c r="M41" s="1">
        <f>2*1000</f>
        <v>2000</v>
      </c>
      <c r="N41" s="1">
        <f>AVERAGE(Table1[[#This Row],[_min]:[_max]])</f>
        <v>1064</v>
      </c>
      <c r="O41" s="1" t="s">
        <v>11</v>
      </c>
      <c r="P41" s="1">
        <f>Table1[[#This Row],[_min]]*1024000</f>
        <v>131072000</v>
      </c>
      <c r="Q41" s="1">
        <f>Table1[[#This Row],[_max]]*1024000</f>
        <v>2048000000</v>
      </c>
      <c r="R41" s="1">
        <f>Table1[[#This Row],[_mean]]*1024000</f>
        <v>1089536000</v>
      </c>
      <c r="S41" s="1" t="str">
        <f t="shared" si="5"/>
        <v>uniform</v>
      </c>
      <c r="T41" s="1" t="str">
        <f t="shared" si="0"/>
        <v>[]</v>
      </c>
      <c r="U41" s="1" t="str">
        <f>_xlfn.CONCAT("{'low': ", Table1[[#This Row],[_std_min]], ", 'high': ",Table1[[#This Row],[_std_max]],"}")</f>
        <v>{'low': 131072000, 'high': 2048000000}</v>
      </c>
    </row>
    <row r="42" spans="1:21" x14ac:dyDescent="0.5">
      <c r="A42" s="1">
        <v>41</v>
      </c>
      <c r="B42" s="1">
        <f t="shared" si="2"/>
        <v>4</v>
      </c>
      <c r="C42" s="1" t="str">
        <f>_xlfn.CONCAT("L_{",Table1[[#This Row],[dm]], "}")</f>
        <v>L_{4}</v>
      </c>
      <c r="D42" s="1" t="str">
        <f>_xlfn.CONCAT("L_tas_", Table1[[#This Row],[dm]])</f>
        <v>L_tas_4</v>
      </c>
      <c r="E42" s="1" t="str">
        <f t="shared" si="3"/>
        <v>CUSTOM</v>
      </c>
      <c r="F42" s="1" t="str">
        <f>_xlfn.CONCAT("TAS ", Table1[[#This Row],[dm]], " mean processing requests")</f>
        <v>TAS 4 mean processing requests</v>
      </c>
      <c r="G42" s="1" t="str">
        <f>_xlfn.CONCAT("Average number of request in TAS ",Table1[[#This Row],[dm]], " component")</f>
        <v>Average number of request in TAS 4 component</v>
      </c>
      <c r="H42" s="1" t="b">
        <f t="shared" ref="H42:K42" si="46">H31</f>
        <v>1</v>
      </c>
      <c r="I42" s="1" t="str">
        <f t="shared" si="46"/>
        <v>CTRL</v>
      </c>
      <c r="J42" s="1" t="str">
        <f t="shared" si="46"/>
        <v>E</v>
      </c>
      <c r="K42" s="1" t="str">
        <f t="shared" si="46"/>
        <v>req</v>
      </c>
      <c r="L42" s="1">
        <v>1</v>
      </c>
      <c r="M42" s="1">
        <f>Table1[[#This Row],[_min]]+10</f>
        <v>11</v>
      </c>
      <c r="N42" s="1">
        <f>AVERAGE(Table1[[#This Row],[_min]:[_max]])</f>
        <v>6</v>
      </c>
      <c r="O42" s="1" t="str">
        <f>Table1[[#This Row],[_units]]</f>
        <v>req</v>
      </c>
      <c r="P42" s="1">
        <f>Table1[[#This Row],[_min]]</f>
        <v>1</v>
      </c>
      <c r="Q42" s="1">
        <f>Table1[[#This Row],[_max]]</f>
        <v>11</v>
      </c>
      <c r="R42" s="1">
        <f>Table1[[#This Row],[_mean]]</f>
        <v>6</v>
      </c>
      <c r="S42" s="1" t="str">
        <f t="shared" si="5"/>
        <v>queue_length</v>
      </c>
      <c r="T42" s="1" t="str">
        <f t="shared" ref="T42" si="47">_xlfn.CONCAT("['", C35, "' , '", C36, "' , '", C39, "' , '", C40, "']")</f>
        <v>['\lambda_{4}' , '\mu_{4}' , 'c_{4}' , 'K_{4}']</v>
      </c>
      <c r="U42" s="1" t="str">
        <f t="shared" ref="U42:U45" si="48">_xlfn.CONCAT("{", "}")</f>
        <v>{}</v>
      </c>
    </row>
    <row r="43" spans="1:21" x14ac:dyDescent="0.5">
      <c r="A43" s="1">
        <v>42</v>
      </c>
      <c r="B43" s="1">
        <f t="shared" si="2"/>
        <v>4</v>
      </c>
      <c r="C43" s="1" t="str">
        <f>_xlfn.CONCAT("Lq_{",Table1[[#This Row],[dm]], "}")</f>
        <v>Lq_{4}</v>
      </c>
      <c r="D43" s="1" t="str">
        <f>_xlfn.CONCAT("Lq_tas_", Table1[[#This Row],[dm]])</f>
        <v>Lq_tas_4</v>
      </c>
      <c r="E43" s="1" t="str">
        <f t="shared" si="3"/>
        <v>CUSTOM</v>
      </c>
      <c r="F43" s="1" t="str">
        <f>_xlfn.CONCAT("TAS ", Table1[[#This Row],[dm]], " mean in memory requests")</f>
        <v>TAS 4 mean in memory requests</v>
      </c>
      <c r="G43" s="1" t="str">
        <f>_xlfn.CONCAT("Average number of request in TAS ",Table1[[#This Row],[dm]], " memory")</f>
        <v>Average number of request in TAS 4 memory</v>
      </c>
      <c r="H43" s="1" t="b">
        <f t="shared" ref="H43:K43" si="49">H32</f>
        <v>0</v>
      </c>
      <c r="I43" s="1" t="str">
        <f t="shared" si="49"/>
        <v>CTRL</v>
      </c>
      <c r="J43" s="1" t="str">
        <f t="shared" si="49"/>
        <v>E</v>
      </c>
      <c r="K43" s="1" t="str">
        <f t="shared" si="49"/>
        <v>req</v>
      </c>
      <c r="L43" s="1">
        <v>1</v>
      </c>
      <c r="M43" s="1">
        <f>Table1[[#This Row],[_min]]+10</f>
        <v>11</v>
      </c>
      <c r="N43" s="1">
        <f>AVERAGE(Table1[[#This Row],[_min]:[_max]])</f>
        <v>6</v>
      </c>
      <c r="O43" s="1" t="str">
        <f>Table1[[#This Row],[_units]]</f>
        <v>req</v>
      </c>
      <c r="P43" s="1">
        <f>Table1[[#This Row],[_min]]</f>
        <v>1</v>
      </c>
      <c r="Q43" s="1">
        <f>Table1[[#This Row],[_max]]</f>
        <v>11</v>
      </c>
      <c r="R43" s="1">
        <f>Table1[[#This Row],[_mean]]</f>
        <v>6</v>
      </c>
      <c r="S43" s="1" t="str">
        <f t="shared" si="5"/>
        <v>queue_length</v>
      </c>
      <c r="T43" s="1" t="str">
        <f t="shared" ref="T43" si="50">_xlfn.CONCAT("['", C35, "' , '", C36, "' , '", C39, "' , '", C40, "']")</f>
        <v>['\lambda_{4}' , '\mu_{4}' , 'c_{4}' , 'K_{4}']</v>
      </c>
      <c r="U43" s="1" t="str">
        <f t="shared" si="48"/>
        <v>{}</v>
      </c>
    </row>
    <row r="44" spans="1:21" x14ac:dyDescent="0.5">
      <c r="A44" s="1">
        <v>43</v>
      </c>
      <c r="B44" s="1">
        <f t="shared" si="2"/>
        <v>4</v>
      </c>
      <c r="C44" s="1" t="str">
        <f>_xlfn.CONCAT("W_{",Table1[[#This Row],[dm]], "}")</f>
        <v>W_{4}</v>
      </c>
      <c r="D44" s="1" t="str">
        <f>_xlfn.CONCAT("W_tas_", Table1[[#This Row],[dm]])</f>
        <v>W_tas_4</v>
      </c>
      <c r="E44" s="1" t="str">
        <f t="shared" si="3"/>
        <v>CUSTOM</v>
      </c>
      <c r="F44" s="1" t="str">
        <f>_xlfn.CONCAT("TAS ", Table1[[#This Row],[dm]], " mean time to answer")</f>
        <v>TAS 4 mean time to answer</v>
      </c>
      <c r="G44" s="1" t="str">
        <f>_xlfn.CONCAT("Average time to complete a request in TAS ",Table1[[#This Row],[dm]])</f>
        <v>Average time to complete a request in TAS 4</v>
      </c>
      <c r="H44" s="1" t="b">
        <f t="shared" ref="H44:K44" si="51">H33</f>
        <v>1</v>
      </c>
      <c r="I44" s="1" t="str">
        <f t="shared" si="51"/>
        <v>OUT</v>
      </c>
      <c r="J44" s="1" t="str">
        <f t="shared" si="51"/>
        <v>T</v>
      </c>
      <c r="K44" s="1" t="str">
        <f t="shared" si="51"/>
        <v>s</v>
      </c>
      <c r="L44" s="1">
        <v>0</v>
      </c>
      <c r="M44" s="8">
        <v>1.20527306967984E-2</v>
      </c>
      <c r="N44" s="8">
        <v>1.20527306967984E-2</v>
      </c>
      <c r="O44" s="1" t="str">
        <f>Table1[[#This Row],[_units]]</f>
        <v>s</v>
      </c>
      <c r="P44" s="1">
        <f>Table1[[#This Row],[_min]]</f>
        <v>0</v>
      </c>
      <c r="Q44" s="1">
        <f>Table1[[#This Row],[_max]]</f>
        <v>1.20527306967984E-2</v>
      </c>
      <c r="R44" s="1">
        <f>Table1[[#This Row],[_mean]]</f>
        <v>1.20527306967984E-2</v>
      </c>
      <c r="S44" s="1" t="str">
        <f t="shared" si="5"/>
        <v>queue_time</v>
      </c>
      <c r="T44" s="1" t="str">
        <f t="shared" ref="T44" si="52">_xlfn.CONCAT("['", C38, "' , '", C42, "']")</f>
        <v>['\chi_{4}' , 'L_{4}']</v>
      </c>
      <c r="U44" s="1" t="str">
        <f t="shared" si="48"/>
        <v>{}</v>
      </c>
    </row>
    <row r="45" spans="1:21" x14ac:dyDescent="0.5">
      <c r="A45" s="1">
        <v>44</v>
      </c>
      <c r="B45" s="1">
        <f t="shared" si="2"/>
        <v>4</v>
      </c>
      <c r="C45" s="1" t="str">
        <f>_xlfn.CONCAT("Wq_{",Table1[[#This Row],[dm]], "}")</f>
        <v>Wq_{4}</v>
      </c>
      <c r="D45" s="1" t="str">
        <f>_xlfn.CONCAT("Wq_tas_", Table1[[#This Row],[dm]])</f>
        <v>Wq_tas_4</v>
      </c>
      <c r="E45" s="1" t="str">
        <f t="shared" si="3"/>
        <v>CUSTOM</v>
      </c>
      <c r="F45" s="1" t="str">
        <f>_xlfn.CONCAT("TAS ", Table1[[#This Row],[dm]], " mean time in buffer")</f>
        <v>TAS 4 mean time in buffer</v>
      </c>
      <c r="G45" s="1" t="str">
        <f>_xlfn.CONCAT("Average time for a request to transit the buffer in TAS ",Table1[[#This Row],[dm]])</f>
        <v>Average time for a request to transit the buffer in TAS 4</v>
      </c>
      <c r="H45" s="1" t="b">
        <f t="shared" ref="H45:K45" si="53">H34</f>
        <v>0</v>
      </c>
      <c r="I45" s="1" t="str">
        <f t="shared" si="53"/>
        <v>CTRL</v>
      </c>
      <c r="J45" s="1" t="str">
        <f t="shared" si="53"/>
        <v>T</v>
      </c>
      <c r="K45" s="1" t="str">
        <f t="shared" si="53"/>
        <v>s</v>
      </c>
      <c r="L45" s="1">
        <v>0</v>
      </c>
      <c r="M45" s="8">
        <v>6.4971751412429297E-3</v>
      </c>
      <c r="N45" s="8">
        <v>6.4971751412429297E-3</v>
      </c>
      <c r="O45" s="1" t="str">
        <f>Table1[[#This Row],[_units]]</f>
        <v>s</v>
      </c>
      <c r="P45" s="1">
        <f>Table1[[#This Row],[_min]]</f>
        <v>0</v>
      </c>
      <c r="Q45" s="1">
        <f>Table1[[#This Row],[_max]]</f>
        <v>6.4971751412429297E-3</v>
      </c>
      <c r="R45" s="1">
        <f>Table1[[#This Row],[_mean]]</f>
        <v>6.4971751412429297E-3</v>
      </c>
      <c r="S45" s="1" t="str">
        <f t="shared" si="5"/>
        <v>queue_time</v>
      </c>
      <c r="T45" s="1" t="str">
        <f t="shared" ref="T45" si="54">_xlfn.CONCAT("['", C38, "' , '", C43, "']")</f>
        <v>['\chi_{4}' , 'Lq_{4}']</v>
      </c>
      <c r="U45" s="1" t="str">
        <f t="shared" si="48"/>
        <v>{}</v>
      </c>
    </row>
    <row r="46" spans="1:21" x14ac:dyDescent="0.5">
      <c r="A46" s="1">
        <v>45</v>
      </c>
      <c r="B46" s="1">
        <f t="shared" si="2"/>
        <v>5</v>
      </c>
      <c r="C46" s="1" t="str">
        <f>_xlfn.CONCAT("\lambda_{", Table1[[#This Row],[dm]],"}")</f>
        <v>\lambda_{5}</v>
      </c>
      <c r="D46" s="1" t="str">
        <f>_xlfn.CONCAT("lambda_tas_", Table1[[#This Row],[dm]])</f>
        <v>lambda_tas_5</v>
      </c>
      <c r="E46" s="1" t="str">
        <f t="shared" si="3"/>
        <v>CUSTOM</v>
      </c>
      <c r="F46" s="1" t="str">
        <f>_xlfn.CONCAT("TAS ", Table1[[#This Row],[dm]], " arrival rate")</f>
        <v>TAS 5 arrival rate</v>
      </c>
      <c r="G46" s="1" t="str">
        <f>_xlfn.CONCAT("Arrival rate for TAS ",Table1[[#This Row],[dm]])</f>
        <v>Arrival rate for TAS 5</v>
      </c>
      <c r="H46" s="1" t="b">
        <f t="shared" ref="H46:K46" si="55">H35</f>
        <v>1</v>
      </c>
      <c r="I46" s="1" t="str">
        <f t="shared" si="55"/>
        <v>IN</v>
      </c>
      <c r="J46" s="1" t="str">
        <f t="shared" si="55"/>
        <v>E*T^-1</v>
      </c>
      <c r="K46" s="1" t="str">
        <f t="shared" si="55"/>
        <v>req/s</v>
      </c>
      <c r="L46" s="1">
        <f>0.1*91.8145161290323</f>
        <v>9.1814516129032295</v>
      </c>
      <c r="M46" s="7">
        <f>1.9*91.8145161290323</f>
        <v>174.44758064516137</v>
      </c>
      <c r="N46" s="4">
        <f>AVERAGE(Table1[[#This Row],[_min]:[_max]])</f>
        <v>91.814516129032299</v>
      </c>
      <c r="O46" s="1" t="str">
        <f>Table1[[#This Row],[_units]]</f>
        <v>req/s</v>
      </c>
      <c r="P46" s="1">
        <f>Table1[[#This Row],[_min]]</f>
        <v>9.1814516129032295</v>
      </c>
      <c r="Q46" s="1">
        <f>Table1[[#This Row],[_max]]</f>
        <v>174.44758064516137</v>
      </c>
      <c r="R46" s="1">
        <f>Table1[[#This Row],[_mean]]</f>
        <v>91.814516129032299</v>
      </c>
      <c r="S46" s="1" t="str">
        <f t="shared" si="5"/>
        <v>uniform</v>
      </c>
      <c r="T46" s="1" t="str">
        <f t="shared" si="0"/>
        <v>[]</v>
      </c>
      <c r="U46" s="1" t="str">
        <f>_xlfn.CONCAT("{'low': ", Table1[[#This Row],[_std_min]], ", 'high': ",Table1[[#This Row],[_std_max]],"}")</f>
        <v>{'low': 9.18145161290323, 'high': 174.447580645161}</v>
      </c>
    </row>
    <row r="47" spans="1:21" x14ac:dyDescent="0.5">
      <c r="A47" s="1">
        <v>46</v>
      </c>
      <c r="B47" s="1">
        <f t="shared" si="2"/>
        <v>5</v>
      </c>
      <c r="C47" s="1" t="str">
        <f>_xlfn.CONCAT("\mu_{",Table1[[#This Row],[dm]], "}")</f>
        <v>\mu_{5}</v>
      </c>
      <c r="D47" s="1" t="str">
        <f>_xlfn.CONCAT("mu_tas_", Table1[[#This Row],[dm]])</f>
        <v>mu_tas_5</v>
      </c>
      <c r="E47" s="1" t="str">
        <f t="shared" si="3"/>
        <v>CUSTOM</v>
      </c>
      <c r="F47" s="1" t="str">
        <f>_xlfn.CONCAT("TAS ", Table1[[#This Row],[dm]], " service rate")</f>
        <v>TAS 5 service rate</v>
      </c>
      <c r="G47" s="1" t="str">
        <f>_xlfn.CONCAT("Service rate for TAS ",Table1[[#This Row],[dm]])</f>
        <v>Service rate for TAS 5</v>
      </c>
      <c r="H47" s="1" t="b">
        <f t="shared" ref="H47:K47" si="56">H36</f>
        <v>1</v>
      </c>
      <c r="I47" s="1" t="str">
        <f t="shared" si="56"/>
        <v>CTRL</v>
      </c>
      <c r="J47" s="1" t="str">
        <f t="shared" si="56"/>
        <v>E*T^-1</v>
      </c>
      <c r="K47" s="1" t="str">
        <f t="shared" si="56"/>
        <v>req/s</v>
      </c>
      <c r="L47" s="1">
        <f>0.1*530</f>
        <v>53</v>
      </c>
      <c r="M47" s="5">
        <f>1.9*530</f>
        <v>1007</v>
      </c>
      <c r="N47" s="4">
        <f>AVERAGE(Table1[[#This Row],[_min]:[_max]])</f>
        <v>530</v>
      </c>
      <c r="O47" s="1" t="str">
        <f>Table1[[#This Row],[_units]]</f>
        <v>req/s</v>
      </c>
      <c r="P47" s="1">
        <f>Table1[[#This Row],[_min]]</f>
        <v>53</v>
      </c>
      <c r="Q47" s="1">
        <f>Table1[[#This Row],[_max]]</f>
        <v>1007</v>
      </c>
      <c r="R47" s="1">
        <f>Table1[[#This Row],[_mean]]</f>
        <v>530</v>
      </c>
      <c r="S47" s="1" t="str">
        <f t="shared" si="5"/>
        <v>uniform</v>
      </c>
      <c r="T47" s="1" t="str">
        <f t="shared" si="0"/>
        <v>[]</v>
      </c>
      <c r="U47" s="1" t="str">
        <f>_xlfn.CONCAT("{'low': ", Table1[[#This Row],[_std_min]], ", 'high': ",Table1[[#This Row],[_std_max]],"}")</f>
        <v>{'low': 53, 'high': 1007}</v>
      </c>
    </row>
    <row r="48" spans="1:21" x14ac:dyDescent="0.5">
      <c r="A48" s="1">
        <v>47</v>
      </c>
      <c r="B48" s="1">
        <f t="shared" si="2"/>
        <v>5</v>
      </c>
      <c r="C48" s="1" t="str">
        <f>_xlfn.CONCAT("err_{",Table1[[#This Row],[dm]], "}")</f>
        <v>err_{5}</v>
      </c>
      <c r="D48" s="1" t="str">
        <f>_xlfn.CONCAT("err_tas_", Table1[[#This Row],[dm]])</f>
        <v>err_tas_5</v>
      </c>
      <c r="E48" s="1" t="str">
        <f t="shared" si="3"/>
        <v>CUSTOM</v>
      </c>
      <c r="F48" s="1" t="str">
        <f>_xlfn.CONCAT("TAS ", Table1[[#This Row],[dm]], " error probability")</f>
        <v>TAS 5 error probability</v>
      </c>
      <c r="G48" s="1" t="str">
        <f>_xlfn.CONCAT("Service error probability for TAS ",Table1[[#This Row],[dm]])</f>
        <v>Service error probability for TAS 5</v>
      </c>
      <c r="H48" s="1" t="b">
        <f t="shared" ref="H48:K48" si="57">H37</f>
        <v>0</v>
      </c>
      <c r="I48" s="1" t="str">
        <f t="shared" si="57"/>
        <v>CTRL</v>
      </c>
      <c r="J48" s="1" t="str">
        <f t="shared" si="57"/>
        <v>E*T^-1</v>
      </c>
      <c r="K48" s="1" t="str">
        <f t="shared" si="57"/>
        <v>n.a.</v>
      </c>
      <c r="L48" s="3">
        <v>7.0000000000000007E-2</v>
      </c>
      <c r="M48" s="3">
        <v>7.0000000000000007E-2</v>
      </c>
      <c r="N48" s="3">
        <f>AVERAGE(Table1[[#This Row],[_min]:[_max]])</f>
        <v>7.0000000000000007E-2</v>
      </c>
      <c r="O48" s="1" t="str">
        <f>Table1[[#This Row],[_units]]</f>
        <v>n.a.</v>
      </c>
      <c r="P48" s="1">
        <f>Table1[[#This Row],[_min]]</f>
        <v>7.0000000000000007E-2</v>
      </c>
      <c r="Q48" s="1">
        <f>Table1[[#This Row],[_max]]</f>
        <v>7.0000000000000007E-2</v>
      </c>
      <c r="R48" s="1">
        <f>Table1[[#This Row],[_mean]]</f>
        <v>7.0000000000000007E-2</v>
      </c>
      <c r="S48" s="1" t="str">
        <f t="shared" si="5"/>
        <v>adjusted_uniform</v>
      </c>
      <c r="T48" s="1" t="str">
        <f t="shared" si="0"/>
        <v>[]</v>
      </c>
      <c r="U48" s="1" t="str">
        <f>_xlfn.CONCAT("{'constant': ",Table1[[#This Row],[_std_max]],"}")</f>
        <v>{'constant': 0.07}</v>
      </c>
    </row>
    <row r="49" spans="1:21" x14ac:dyDescent="0.5">
      <c r="A49" s="1">
        <v>48</v>
      </c>
      <c r="B49" s="1">
        <f t="shared" si="2"/>
        <v>5</v>
      </c>
      <c r="C49" s="1" t="str">
        <f>_xlfn.CONCAT("\chi_{",Table1[[#This Row],[dm]], "}")</f>
        <v>\chi_{5}</v>
      </c>
      <c r="D49" s="1" t="str">
        <f>_xlfn.CONCAT("chi_tas_", Table1[[#This Row],[dm]])</f>
        <v>chi_tas_5</v>
      </c>
      <c r="E49" s="1" t="str">
        <f t="shared" si="3"/>
        <v>CUSTOM</v>
      </c>
      <c r="F49" s="1" t="str">
        <f>_xlfn.CONCAT("TAS ", Table1[[#This Row],[dm]], " departure rate")</f>
        <v>TAS 5 departure rate</v>
      </c>
      <c r="G49" s="1" t="str">
        <f>_xlfn.CONCAT("Departure rate for TAS ",Table1[[#This Row],[dm]])</f>
        <v>Departure rate for TAS 5</v>
      </c>
      <c r="H49" s="1" t="b">
        <f t="shared" ref="H49:K49" si="58">H38</f>
        <v>1</v>
      </c>
      <c r="I49" s="1" t="str">
        <f t="shared" si="58"/>
        <v>CTRL</v>
      </c>
      <c r="J49" s="1" t="str">
        <f t="shared" si="58"/>
        <v>E*T^-1</v>
      </c>
      <c r="K49" s="1" t="str">
        <f t="shared" si="58"/>
        <v>req/s</v>
      </c>
      <c r="L49" s="1">
        <f>0.1*91.8145161290323</f>
        <v>9.1814516129032295</v>
      </c>
      <c r="M49" s="7">
        <f>1.9*91.8145161290323</f>
        <v>174.44758064516137</v>
      </c>
      <c r="N49" s="6">
        <f>AVERAGE(Table1[[#This Row],[_min]:[_max]])</f>
        <v>91.814516129032299</v>
      </c>
      <c r="O49" s="1" t="str">
        <f>Table1[[#This Row],[_units]]</f>
        <v>req/s</v>
      </c>
      <c r="P49" s="1">
        <f>Table1[[#This Row],[_min]]</f>
        <v>9.1814516129032295</v>
      </c>
      <c r="Q49" s="1">
        <f>Table1[[#This Row],[_max]]</f>
        <v>174.44758064516137</v>
      </c>
      <c r="R49" s="1">
        <f>Table1[[#This Row],[_mean]]</f>
        <v>91.814516129032299</v>
      </c>
      <c r="S49" s="1" t="str">
        <f t="shared" si="5"/>
        <v>adjusted_rate</v>
      </c>
      <c r="T49" s="1" t="str">
        <f t="shared" ref="T49" si="59">_xlfn.CONCAT("['", C46, "' , '", C48, "']")</f>
        <v>['\lambda_{5}' , 'err_{5}']</v>
      </c>
      <c r="U49" s="1" t="str">
        <f t="shared" ref="U49" si="60">_xlfn.CONCAT("{", "}")</f>
        <v>{}</v>
      </c>
    </row>
    <row r="50" spans="1:21" x14ac:dyDescent="0.5">
      <c r="A50" s="1">
        <v>49</v>
      </c>
      <c r="B50" s="1">
        <f t="shared" si="2"/>
        <v>5</v>
      </c>
      <c r="C50" s="1" t="str">
        <f>_xlfn.CONCAT("c_{",Table1[[#This Row],[dm]], "}")</f>
        <v>c_{5}</v>
      </c>
      <c r="D50" s="1" t="str">
        <f>_xlfn.CONCAT("c_tas_", Table1[[#This Row],[dm]])</f>
        <v>c_tas_5</v>
      </c>
      <c r="E50" s="1" t="str">
        <f t="shared" si="3"/>
        <v>CUSTOM</v>
      </c>
      <c r="F50" s="1" t="str">
        <f>_xlfn.CONCAT("TAS ", Table1[[#This Row],[dm]], " resourses")</f>
        <v>TAS 5 resourses</v>
      </c>
      <c r="G50" s="1" t="str">
        <f>_xlfn.CONCAT("Number of resources allocated in TAS ",Table1[[#This Row],[dm]])</f>
        <v>Number of resources allocated in TAS 5</v>
      </c>
      <c r="H50" s="1" t="b">
        <f t="shared" ref="H50:K50" si="61">H39</f>
        <v>1</v>
      </c>
      <c r="I50" s="1" t="str">
        <f t="shared" si="61"/>
        <v>IN</v>
      </c>
      <c r="J50" s="1" t="str">
        <f t="shared" si="61"/>
        <v>E</v>
      </c>
      <c r="K50" s="1" t="str">
        <f t="shared" si="61"/>
        <v>req</v>
      </c>
      <c r="L50" s="1">
        <v>1</v>
      </c>
      <c r="M50" s="1">
        <f>Table1[[#This Row],[_min]]+1</f>
        <v>2</v>
      </c>
      <c r="N50" s="1">
        <f>AVERAGE(Table1[[#This Row],[_min]:[_max]])</f>
        <v>1.5</v>
      </c>
      <c r="O50" s="1" t="str">
        <f>Table1[[#This Row],[_units]]</f>
        <v>req</v>
      </c>
      <c r="P50" s="1">
        <f>Table1[[#This Row],[_min]]</f>
        <v>1</v>
      </c>
      <c r="Q50" s="1">
        <f>Table1[[#This Row],[_max]]</f>
        <v>2</v>
      </c>
      <c r="R50" s="1">
        <f>Table1[[#This Row],[_mean]]</f>
        <v>1.5</v>
      </c>
      <c r="S50" s="1" t="str">
        <f t="shared" si="5"/>
        <v>uniform_int</v>
      </c>
      <c r="T50" s="1" t="str">
        <f t="shared" si="0"/>
        <v>[]</v>
      </c>
      <c r="U50" s="1" t="str">
        <f>_xlfn.CONCAT("{'low': ", Table1[[#This Row],[_std_min]], ", 'high': ",Table1[[#This Row],[_std_max]],"}")</f>
        <v>{'low': 1, 'high': 2}</v>
      </c>
    </row>
    <row r="51" spans="1:21" x14ac:dyDescent="0.5">
      <c r="A51" s="1">
        <v>50</v>
      </c>
      <c r="B51" s="1">
        <f t="shared" si="2"/>
        <v>5</v>
      </c>
      <c r="C51" s="1" t="str">
        <f>_xlfn.CONCAT("K_{",Table1[[#This Row],[dm]],"}")</f>
        <v>K_{5}</v>
      </c>
      <c r="D51" s="1" t="str">
        <f>_xlfn.CONCAT("K_tas_", Table1[[#This Row],[dm]])</f>
        <v>K_tas_5</v>
      </c>
      <c r="E51" s="1" t="str">
        <f t="shared" si="3"/>
        <v>CUSTOM</v>
      </c>
      <c r="F51" s="1" t="str">
        <f>_xlfn.CONCAT("TAS ", Table1[[#This Row],[dm]], " q-capacity")</f>
        <v>TAS 5 q-capacity</v>
      </c>
      <c r="G51" s="1" t="str">
        <f>_xlfn.CONCAT("Allocated request capacity in TAS ",Table1[[#This Row],[dm]]," memory buffer")</f>
        <v>Allocated request capacity in TAS 5 memory buffer</v>
      </c>
      <c r="H51" s="1" t="b">
        <f t="shared" ref="H51:K51" si="62">H40</f>
        <v>1</v>
      </c>
      <c r="I51" s="1" t="str">
        <f t="shared" si="62"/>
        <v>CTRL</v>
      </c>
      <c r="J51" s="1" t="str">
        <f t="shared" si="62"/>
        <v>E</v>
      </c>
      <c r="K51" s="1" t="str">
        <f t="shared" si="62"/>
        <v>req</v>
      </c>
      <c r="L51" s="1">
        <v>1</v>
      </c>
      <c r="M51" s="1">
        <f>Table1[[#This Row],[_min]]+10</f>
        <v>11</v>
      </c>
      <c r="N51" s="1">
        <f>AVERAGE(Table1[[#This Row],[_min]:[_max]])</f>
        <v>6</v>
      </c>
      <c r="O51" s="1" t="str">
        <f>Table1[[#This Row],[_units]]</f>
        <v>req</v>
      </c>
      <c r="P51" s="1">
        <f>Table1[[#This Row],[_min]]</f>
        <v>1</v>
      </c>
      <c r="Q51" s="1">
        <f>Table1[[#This Row],[_max]]</f>
        <v>11</v>
      </c>
      <c r="R51" s="1">
        <f>Table1[[#This Row],[_mean]]</f>
        <v>6</v>
      </c>
      <c r="S51" s="1" t="str">
        <f t="shared" si="5"/>
        <v>shifted_uniform_int</v>
      </c>
      <c r="T51" s="1" t="str">
        <f t="shared" ref="T51" si="63">_xlfn.CONCAT("['", C50, "']")</f>
        <v>['c_{5}']</v>
      </c>
      <c r="U51" s="1" t="str">
        <f>_xlfn.CONCAT("{'low': ", Table1[[#This Row],[_std_min]], ", 'high': ",Table1[[#This Row],[_std_max]],"}")</f>
        <v>{'low': 1, 'high': 11}</v>
      </c>
    </row>
    <row r="52" spans="1:21" x14ac:dyDescent="0.5">
      <c r="A52" s="1">
        <v>51</v>
      </c>
      <c r="B52" s="1">
        <f t="shared" si="2"/>
        <v>5</v>
      </c>
      <c r="C52" s="1" t="str">
        <f>_xlfn.CONCAT("\delta_{", Table1[[#This Row],[dm]],"}")</f>
        <v>\delta_{5}</v>
      </c>
      <c r="D52" s="1" t="str">
        <f>_xlfn.CONCAT("delta_tas_", Table1[[#This Row],[dm]])</f>
        <v>delta_tas_5</v>
      </c>
      <c r="E52" s="1" t="str">
        <f t="shared" si="3"/>
        <v>CUSTOM</v>
      </c>
      <c r="F52" s="1" t="str">
        <f>_xlfn.CONCAT("TAS ", Table1[[#This Row],[dm]], " req data density")</f>
        <v>TAS 5 req data density</v>
      </c>
      <c r="G52" s="1" t="str">
        <f>_xlfn.CONCAT("Data density for request in TAS ", Table1[[#This Row],[dm]], " expected data per requests")</f>
        <v>Data density for request in TAS 5 expected data per requests</v>
      </c>
      <c r="H52" s="1" t="b">
        <f t="shared" ref="H52:K52" si="64">H41</f>
        <v>0</v>
      </c>
      <c r="I52" s="1" t="str">
        <f t="shared" si="64"/>
        <v>IN</v>
      </c>
      <c r="J52" s="1" t="str">
        <f t="shared" si="64"/>
        <v>D*E^-1</v>
      </c>
      <c r="K52" s="1" t="str">
        <f t="shared" si="64"/>
        <v>kB/req</v>
      </c>
      <c r="L52" s="1">
        <v>128</v>
      </c>
      <c r="M52" s="1">
        <f>2*1000</f>
        <v>2000</v>
      </c>
      <c r="N52" s="1">
        <f>AVERAGE(Table1[[#This Row],[_min]:[_max]])</f>
        <v>1064</v>
      </c>
      <c r="O52" s="1" t="s">
        <v>11</v>
      </c>
      <c r="P52" s="1">
        <f>Table1[[#This Row],[_min]]*1024000</f>
        <v>131072000</v>
      </c>
      <c r="Q52" s="1">
        <f>Table1[[#This Row],[_max]]*1024000</f>
        <v>2048000000</v>
      </c>
      <c r="R52" s="1">
        <f>Table1[[#This Row],[_mean]]*1024000</f>
        <v>1089536000</v>
      </c>
      <c r="S52" s="1" t="str">
        <f t="shared" si="5"/>
        <v>uniform</v>
      </c>
      <c r="T52" s="1" t="str">
        <f t="shared" si="0"/>
        <v>[]</v>
      </c>
      <c r="U52" s="1" t="str">
        <f>_xlfn.CONCAT("{'low': ", Table1[[#This Row],[_std_min]], ", 'high': ",Table1[[#This Row],[_std_max]],"}")</f>
        <v>{'low': 131072000, 'high': 2048000000}</v>
      </c>
    </row>
    <row r="53" spans="1:21" x14ac:dyDescent="0.5">
      <c r="A53" s="1">
        <v>52</v>
      </c>
      <c r="B53" s="1">
        <f t="shared" si="2"/>
        <v>5</v>
      </c>
      <c r="C53" s="1" t="str">
        <f>_xlfn.CONCAT("L_{",Table1[[#This Row],[dm]], "}")</f>
        <v>L_{5}</v>
      </c>
      <c r="D53" s="1" t="str">
        <f>_xlfn.CONCAT("L_tas_", Table1[[#This Row],[dm]])</f>
        <v>L_tas_5</v>
      </c>
      <c r="E53" s="1" t="str">
        <f t="shared" si="3"/>
        <v>CUSTOM</v>
      </c>
      <c r="F53" s="1" t="str">
        <f>_xlfn.CONCAT("TAS ", Table1[[#This Row],[dm]], " mean processing requests")</f>
        <v>TAS 5 mean processing requests</v>
      </c>
      <c r="G53" s="1" t="str">
        <f>_xlfn.CONCAT("Average number of request in TAS ",Table1[[#This Row],[dm]], " component")</f>
        <v>Average number of request in TAS 5 component</v>
      </c>
      <c r="H53" s="1" t="b">
        <f t="shared" ref="H53:K53" si="65">H42</f>
        <v>1</v>
      </c>
      <c r="I53" s="1" t="str">
        <f t="shared" si="65"/>
        <v>CTRL</v>
      </c>
      <c r="J53" s="1" t="str">
        <f t="shared" si="65"/>
        <v>E</v>
      </c>
      <c r="K53" s="1" t="str">
        <f t="shared" si="65"/>
        <v>req</v>
      </c>
      <c r="L53" s="1">
        <v>1</v>
      </c>
      <c r="M53" s="1">
        <f>Table1[[#This Row],[_min]]+10</f>
        <v>11</v>
      </c>
      <c r="N53" s="1">
        <f>AVERAGE(Table1[[#This Row],[_min]:[_max]])</f>
        <v>6</v>
      </c>
      <c r="O53" s="1" t="str">
        <f>Table1[[#This Row],[_units]]</f>
        <v>req</v>
      </c>
      <c r="P53" s="1">
        <f>Table1[[#This Row],[_min]]</f>
        <v>1</v>
      </c>
      <c r="Q53" s="1">
        <f>Table1[[#This Row],[_max]]</f>
        <v>11</v>
      </c>
      <c r="R53" s="1">
        <f>Table1[[#This Row],[_mean]]</f>
        <v>6</v>
      </c>
      <c r="S53" s="1" t="str">
        <f t="shared" si="5"/>
        <v>queue_length</v>
      </c>
      <c r="T53" s="1" t="str">
        <f t="shared" ref="T53" si="66">_xlfn.CONCAT("['", C46, "' , '", C47, "' , '", C50, "' , '", C51, "']")</f>
        <v>['\lambda_{5}' , '\mu_{5}' , 'c_{5}' , 'K_{5}']</v>
      </c>
      <c r="U53" s="1" t="str">
        <f t="shared" ref="U53:U56" si="67">_xlfn.CONCAT("{", "}")</f>
        <v>{}</v>
      </c>
    </row>
    <row r="54" spans="1:21" x14ac:dyDescent="0.5">
      <c r="A54" s="1">
        <v>53</v>
      </c>
      <c r="B54" s="1">
        <f t="shared" si="2"/>
        <v>5</v>
      </c>
      <c r="C54" s="1" t="str">
        <f>_xlfn.CONCAT("Lq_{",Table1[[#This Row],[dm]], "}")</f>
        <v>Lq_{5}</v>
      </c>
      <c r="D54" s="1" t="str">
        <f>_xlfn.CONCAT("Lq_tas_", Table1[[#This Row],[dm]])</f>
        <v>Lq_tas_5</v>
      </c>
      <c r="E54" s="1" t="str">
        <f t="shared" si="3"/>
        <v>CUSTOM</v>
      </c>
      <c r="F54" s="1" t="str">
        <f>_xlfn.CONCAT("TAS ", Table1[[#This Row],[dm]], " mean in memory requests")</f>
        <v>TAS 5 mean in memory requests</v>
      </c>
      <c r="G54" s="1" t="str">
        <f>_xlfn.CONCAT("Average number of request in TAS ",Table1[[#This Row],[dm]], " memory")</f>
        <v>Average number of request in TAS 5 memory</v>
      </c>
      <c r="H54" s="1" t="b">
        <f t="shared" ref="H54:K54" si="68">H43</f>
        <v>0</v>
      </c>
      <c r="I54" s="1" t="str">
        <f t="shared" si="68"/>
        <v>CTRL</v>
      </c>
      <c r="J54" s="1" t="str">
        <f t="shared" si="68"/>
        <v>E</v>
      </c>
      <c r="K54" s="1" t="str">
        <f t="shared" si="68"/>
        <v>req</v>
      </c>
      <c r="L54" s="1">
        <v>1</v>
      </c>
      <c r="M54" s="1">
        <f>Table1[[#This Row],[_min]]+10</f>
        <v>11</v>
      </c>
      <c r="N54" s="1">
        <f>AVERAGE(Table1[[#This Row],[_min]:[_max]])</f>
        <v>6</v>
      </c>
      <c r="O54" s="1" t="str">
        <f>Table1[[#This Row],[_units]]</f>
        <v>req</v>
      </c>
      <c r="P54" s="1">
        <f>Table1[[#This Row],[_min]]</f>
        <v>1</v>
      </c>
      <c r="Q54" s="1">
        <f>Table1[[#This Row],[_max]]</f>
        <v>11</v>
      </c>
      <c r="R54" s="1">
        <f>Table1[[#This Row],[_mean]]</f>
        <v>6</v>
      </c>
      <c r="S54" s="1" t="str">
        <f t="shared" si="5"/>
        <v>queue_length</v>
      </c>
      <c r="T54" s="1" t="str">
        <f t="shared" ref="T54" si="69">_xlfn.CONCAT("['", C46, "' , '", C47, "' , '", C50, "' , '", C51, "']")</f>
        <v>['\lambda_{5}' , '\mu_{5}' , 'c_{5}' , 'K_{5}']</v>
      </c>
      <c r="U54" s="1" t="str">
        <f t="shared" si="67"/>
        <v>{}</v>
      </c>
    </row>
    <row r="55" spans="1:21" x14ac:dyDescent="0.5">
      <c r="A55" s="1">
        <v>54</v>
      </c>
      <c r="B55" s="1">
        <f t="shared" si="2"/>
        <v>5</v>
      </c>
      <c r="C55" s="1" t="str">
        <f>_xlfn.CONCAT("W_{",Table1[[#This Row],[dm]], "}")</f>
        <v>W_{5}</v>
      </c>
      <c r="D55" s="1" t="str">
        <f>_xlfn.CONCAT("W_tas_", Table1[[#This Row],[dm]])</f>
        <v>W_tas_5</v>
      </c>
      <c r="E55" s="1" t="str">
        <f t="shared" si="3"/>
        <v>CUSTOM</v>
      </c>
      <c r="F55" s="1" t="str">
        <f>_xlfn.CONCAT("TAS ", Table1[[#This Row],[dm]], " mean time to answer")</f>
        <v>TAS 5 mean time to answer</v>
      </c>
      <c r="G55" s="1" t="str">
        <f>_xlfn.CONCAT("Average time to complete a request in TAS ",Table1[[#This Row],[dm]])</f>
        <v>Average time to complete a request in TAS 5</v>
      </c>
      <c r="H55" s="1" t="b">
        <f t="shared" ref="H55:K55" si="70">H44</f>
        <v>1</v>
      </c>
      <c r="I55" s="1" t="str">
        <f t="shared" si="70"/>
        <v>OUT</v>
      </c>
      <c r="J55" s="1" t="str">
        <f t="shared" si="70"/>
        <v>T</v>
      </c>
      <c r="K55" s="1" t="str">
        <f t="shared" si="70"/>
        <v>s</v>
      </c>
      <c r="L55" s="1">
        <v>0</v>
      </c>
      <c r="M55" s="8">
        <v>2.2821385847059902E-3</v>
      </c>
      <c r="N55" s="8">
        <v>2.2821385847059902E-3</v>
      </c>
      <c r="O55" s="1" t="str">
        <f>Table1[[#This Row],[_units]]</f>
        <v>s</v>
      </c>
      <c r="P55" s="1">
        <f>Table1[[#This Row],[_min]]</f>
        <v>0</v>
      </c>
      <c r="Q55" s="1">
        <f>Table1[[#This Row],[_max]]</f>
        <v>2.2821385847059902E-3</v>
      </c>
      <c r="R55" s="1">
        <f>Table1[[#This Row],[_mean]]</f>
        <v>2.2821385847059902E-3</v>
      </c>
      <c r="S55" s="1" t="str">
        <f t="shared" si="5"/>
        <v>queue_time</v>
      </c>
      <c r="T55" s="1" t="str">
        <f t="shared" ref="T55" si="71">_xlfn.CONCAT("['", C49, "' , '", C53, "']")</f>
        <v>['\chi_{5}' , 'L_{5}']</v>
      </c>
      <c r="U55" s="1" t="str">
        <f t="shared" si="67"/>
        <v>{}</v>
      </c>
    </row>
    <row r="56" spans="1:21" x14ac:dyDescent="0.5">
      <c r="A56" s="1">
        <v>55</v>
      </c>
      <c r="B56" s="1">
        <f t="shared" si="2"/>
        <v>5</v>
      </c>
      <c r="C56" s="1" t="str">
        <f>_xlfn.CONCAT("Wq_{",Table1[[#This Row],[dm]], "}")</f>
        <v>Wq_{5}</v>
      </c>
      <c r="D56" s="1" t="str">
        <f>_xlfn.CONCAT("Wq_tas_", Table1[[#This Row],[dm]])</f>
        <v>Wq_tas_5</v>
      </c>
      <c r="E56" s="1" t="str">
        <f t="shared" si="3"/>
        <v>CUSTOM</v>
      </c>
      <c r="F56" s="1" t="str">
        <f>_xlfn.CONCAT("TAS ", Table1[[#This Row],[dm]], " mean time in buffer")</f>
        <v>TAS 5 mean time in buffer</v>
      </c>
      <c r="G56" s="1" t="str">
        <f>_xlfn.CONCAT("Average time for a request to transit the buffer in TAS ",Table1[[#This Row],[dm]])</f>
        <v>Average time for a request to transit the buffer in TAS 5</v>
      </c>
      <c r="H56" s="1" t="b">
        <f t="shared" ref="H56:K56" si="72">H45</f>
        <v>0</v>
      </c>
      <c r="I56" s="1" t="str">
        <f t="shared" si="72"/>
        <v>CTRL</v>
      </c>
      <c r="J56" s="1" t="str">
        <f t="shared" si="72"/>
        <v>T</v>
      </c>
      <c r="K56" s="1" t="str">
        <f t="shared" si="72"/>
        <v>s</v>
      </c>
      <c r="L56" s="1">
        <v>0</v>
      </c>
      <c r="M56" s="8">
        <v>3.95346131875801E-4</v>
      </c>
      <c r="N56" s="8">
        <v>3.95346131875801E-4</v>
      </c>
      <c r="O56" s="1" t="str">
        <f>Table1[[#This Row],[_units]]</f>
        <v>s</v>
      </c>
      <c r="P56" s="1">
        <f>Table1[[#This Row],[_min]]</f>
        <v>0</v>
      </c>
      <c r="Q56" s="1">
        <f>Table1[[#This Row],[_max]]</f>
        <v>3.95346131875801E-4</v>
      </c>
      <c r="R56" s="1">
        <f>Table1[[#This Row],[_mean]]</f>
        <v>3.95346131875801E-4</v>
      </c>
      <c r="S56" s="1" t="str">
        <f t="shared" si="5"/>
        <v>queue_time</v>
      </c>
      <c r="T56" s="1" t="str">
        <f t="shared" ref="T56" si="73">_xlfn.CONCAT("['", C49, "' , '", C54, "']")</f>
        <v>['\chi_{5}' , 'Lq_{5}']</v>
      </c>
      <c r="U56" s="1" t="str">
        <f t="shared" si="67"/>
        <v>{}</v>
      </c>
    </row>
    <row r="57" spans="1:21" x14ac:dyDescent="0.5">
      <c r="A57" s="1">
        <v>56</v>
      </c>
      <c r="B57" s="1">
        <f t="shared" si="2"/>
        <v>6</v>
      </c>
      <c r="C57" s="1" t="str">
        <f>_xlfn.CONCAT("\lambda_{", Table1[[#This Row],[dm]],"}")</f>
        <v>\lambda_{6}</v>
      </c>
      <c r="D57" s="1" t="str">
        <f>_xlfn.CONCAT("lambda_tas_", Table1[[#This Row],[dm]])</f>
        <v>lambda_tas_6</v>
      </c>
      <c r="E57" s="1" t="str">
        <f t="shared" si="3"/>
        <v>CUSTOM</v>
      </c>
      <c r="F57" s="1" t="str">
        <f>_xlfn.CONCAT("TAS ", Table1[[#This Row],[dm]], " arrival rate")</f>
        <v>TAS 6 arrival rate</v>
      </c>
      <c r="G57" s="1" t="str">
        <f>_xlfn.CONCAT("Arrival rate for TAS ",Table1[[#This Row],[dm]])</f>
        <v>Arrival rate for TAS 6</v>
      </c>
      <c r="H57" s="1" t="b">
        <f t="shared" ref="H57:K57" si="74">H46</f>
        <v>1</v>
      </c>
      <c r="I57" s="1" t="str">
        <f t="shared" si="74"/>
        <v>IN</v>
      </c>
      <c r="J57" s="1" t="str">
        <f t="shared" si="74"/>
        <v>E*T^-1</v>
      </c>
      <c r="K57" s="1" t="str">
        <f t="shared" si="74"/>
        <v>req/s</v>
      </c>
      <c r="L57" s="1">
        <f>0.1*104.131097560975</f>
        <v>10.4131097560975</v>
      </c>
      <c r="M57" s="7">
        <f>1.9*104.131097560975</f>
        <v>197.84908536585249</v>
      </c>
      <c r="N57" s="1">
        <f>AVERAGE(Table1[[#This Row],[_min]:[_max]])</f>
        <v>104.13109756097499</v>
      </c>
      <c r="O57" s="1" t="str">
        <f>Table1[[#This Row],[_units]]</f>
        <v>req/s</v>
      </c>
      <c r="P57" s="1">
        <f>Table1[[#This Row],[_min]]</f>
        <v>10.4131097560975</v>
      </c>
      <c r="Q57" s="1">
        <f>Table1[[#This Row],[_max]]</f>
        <v>197.84908536585249</v>
      </c>
      <c r="R57" s="1">
        <f>Table1[[#This Row],[_mean]]</f>
        <v>104.13109756097499</v>
      </c>
      <c r="S57" s="1" t="str">
        <f t="shared" si="5"/>
        <v>uniform</v>
      </c>
      <c r="T57" s="1" t="str">
        <f t="shared" si="0"/>
        <v>[]</v>
      </c>
      <c r="U57" s="1" t="str">
        <f>_xlfn.CONCAT("{'low': ", Table1[[#This Row],[_std_min]], ", 'high': ",Table1[[#This Row],[_std_max]],"}")</f>
        <v>{'low': 10.4131097560975, 'high': 197.849085365852}</v>
      </c>
    </row>
    <row r="58" spans="1:21" x14ac:dyDescent="0.5">
      <c r="A58" s="1">
        <v>57</v>
      </c>
      <c r="B58" s="1">
        <f t="shared" si="2"/>
        <v>6</v>
      </c>
      <c r="C58" s="1" t="str">
        <f>_xlfn.CONCAT("\mu_{",Table1[[#This Row],[dm]], "}")</f>
        <v>\mu_{6}</v>
      </c>
      <c r="D58" s="1" t="str">
        <f>_xlfn.CONCAT("mu_tas_", Table1[[#This Row],[dm]])</f>
        <v>mu_tas_6</v>
      </c>
      <c r="E58" s="1" t="str">
        <f t="shared" si="3"/>
        <v>CUSTOM</v>
      </c>
      <c r="F58" s="1" t="str">
        <f>_xlfn.CONCAT("TAS ", Table1[[#This Row],[dm]], " service rate")</f>
        <v>TAS 6 service rate</v>
      </c>
      <c r="G58" s="1" t="str">
        <f>_xlfn.CONCAT("Service rate for TAS ",Table1[[#This Row],[dm]])</f>
        <v>Service rate for TAS 6</v>
      </c>
      <c r="H58" s="1" t="b">
        <f t="shared" ref="H58:K58" si="75">H47</f>
        <v>1</v>
      </c>
      <c r="I58" s="1" t="str">
        <f t="shared" si="75"/>
        <v>CTRL</v>
      </c>
      <c r="J58" s="1" t="str">
        <f t="shared" si="75"/>
        <v>E*T^-1</v>
      </c>
      <c r="K58" s="1" t="str">
        <f t="shared" si="75"/>
        <v>req/s</v>
      </c>
      <c r="L58" s="1">
        <f>0.1*150</f>
        <v>15</v>
      </c>
      <c r="M58" s="5">
        <f>1.9*150</f>
        <v>285</v>
      </c>
      <c r="N58" s="4">
        <f>AVERAGE(Table1[[#This Row],[_min]:[_max]])</f>
        <v>150</v>
      </c>
      <c r="O58" s="1" t="str">
        <f>Table1[[#This Row],[_units]]</f>
        <v>req/s</v>
      </c>
      <c r="P58" s="1">
        <f>Table1[[#This Row],[_min]]</f>
        <v>15</v>
      </c>
      <c r="Q58" s="1">
        <f>Table1[[#This Row],[_max]]</f>
        <v>285</v>
      </c>
      <c r="R58" s="1">
        <f>Table1[[#This Row],[_mean]]</f>
        <v>150</v>
      </c>
      <c r="S58" s="1" t="str">
        <f t="shared" si="5"/>
        <v>uniform</v>
      </c>
      <c r="T58" s="1" t="str">
        <f t="shared" si="0"/>
        <v>[]</v>
      </c>
      <c r="U58" s="1" t="str">
        <f>_xlfn.CONCAT("{'low': ", Table1[[#This Row],[_std_min]], ", 'high': ",Table1[[#This Row],[_std_max]],"}")</f>
        <v>{'low': 15, 'high': 285}</v>
      </c>
    </row>
    <row r="59" spans="1:21" x14ac:dyDescent="0.5">
      <c r="A59" s="1">
        <v>58</v>
      </c>
      <c r="B59" s="1">
        <f t="shared" si="2"/>
        <v>6</v>
      </c>
      <c r="C59" s="1" t="str">
        <f>_xlfn.CONCAT("err_{",Table1[[#This Row],[dm]], "}")</f>
        <v>err_{6}</v>
      </c>
      <c r="D59" s="1" t="str">
        <f>_xlfn.CONCAT("err_tas_", Table1[[#This Row],[dm]])</f>
        <v>err_tas_6</v>
      </c>
      <c r="E59" s="1" t="str">
        <f t="shared" si="3"/>
        <v>CUSTOM</v>
      </c>
      <c r="F59" s="1" t="str">
        <f>_xlfn.CONCAT("TAS ", Table1[[#This Row],[dm]], " error probability")</f>
        <v>TAS 6 error probability</v>
      </c>
      <c r="G59" s="1" t="str">
        <f>_xlfn.CONCAT("Service error probability for TAS ",Table1[[#This Row],[dm]])</f>
        <v>Service error probability for TAS 6</v>
      </c>
      <c r="H59" s="1" t="b">
        <f t="shared" ref="H59:K59" si="76">H48</f>
        <v>0</v>
      </c>
      <c r="I59" s="1" t="str">
        <f t="shared" si="76"/>
        <v>CTRL</v>
      </c>
      <c r="J59" s="1" t="str">
        <f t="shared" si="76"/>
        <v>E*T^-1</v>
      </c>
      <c r="K59" s="1" t="str">
        <f t="shared" si="76"/>
        <v>n.a.</v>
      </c>
      <c r="L59" s="3">
        <v>0.18</v>
      </c>
      <c r="M59" s="3">
        <v>0.18</v>
      </c>
      <c r="N59" s="3">
        <f>AVERAGE(Table1[[#This Row],[_min]:[_max]])</f>
        <v>0.18</v>
      </c>
      <c r="O59" s="1" t="str">
        <f>Table1[[#This Row],[_units]]</f>
        <v>n.a.</v>
      </c>
      <c r="P59" s="1">
        <f>Table1[[#This Row],[_min]]</f>
        <v>0.18</v>
      </c>
      <c r="Q59" s="1">
        <f>Table1[[#This Row],[_max]]</f>
        <v>0.18</v>
      </c>
      <c r="R59" s="1">
        <f>Table1[[#This Row],[_mean]]</f>
        <v>0.18</v>
      </c>
      <c r="S59" s="1" t="str">
        <f t="shared" si="5"/>
        <v>adjusted_uniform</v>
      </c>
      <c r="T59" s="1" t="str">
        <f t="shared" si="0"/>
        <v>[]</v>
      </c>
      <c r="U59" s="1" t="str">
        <f>_xlfn.CONCAT("{'constant': ",Table1[[#This Row],[_std_max]],"}")</f>
        <v>{'constant': 0.18}</v>
      </c>
    </row>
    <row r="60" spans="1:21" x14ac:dyDescent="0.5">
      <c r="A60" s="1">
        <v>59</v>
      </c>
      <c r="B60" s="1">
        <f t="shared" si="2"/>
        <v>6</v>
      </c>
      <c r="C60" s="1" t="str">
        <f>_xlfn.CONCAT("\chi_{",Table1[[#This Row],[dm]], "}")</f>
        <v>\chi_{6}</v>
      </c>
      <c r="D60" s="1" t="str">
        <f>_xlfn.CONCAT("chi_tas_", Table1[[#This Row],[dm]])</f>
        <v>chi_tas_6</v>
      </c>
      <c r="E60" s="1" t="str">
        <f t="shared" si="3"/>
        <v>CUSTOM</v>
      </c>
      <c r="F60" s="1" t="str">
        <f>_xlfn.CONCAT("TAS ", Table1[[#This Row],[dm]], " departure rate")</f>
        <v>TAS 6 departure rate</v>
      </c>
      <c r="G60" s="1" t="str">
        <f>_xlfn.CONCAT("Departure rate for TAS ",Table1[[#This Row],[dm]])</f>
        <v>Departure rate for TAS 6</v>
      </c>
      <c r="H60" s="1" t="b">
        <f t="shared" ref="H60:K60" si="77">H49</f>
        <v>1</v>
      </c>
      <c r="I60" s="1" t="str">
        <f t="shared" si="77"/>
        <v>CTRL</v>
      </c>
      <c r="J60" s="1" t="str">
        <f t="shared" si="77"/>
        <v>E*T^-1</v>
      </c>
      <c r="K60" s="1" t="str">
        <f t="shared" si="77"/>
        <v>req/s</v>
      </c>
      <c r="L60" s="1">
        <f>0.1*104.131097560975</f>
        <v>10.4131097560975</v>
      </c>
      <c r="M60" s="7">
        <f>1.9*104.131097560975</f>
        <v>197.84908536585249</v>
      </c>
      <c r="N60" s="6">
        <f>AVERAGE(Table1[[#This Row],[_min]:[_max]])</f>
        <v>104.13109756097499</v>
      </c>
      <c r="O60" s="1" t="str">
        <f>Table1[[#This Row],[_units]]</f>
        <v>req/s</v>
      </c>
      <c r="P60" s="1">
        <f>Table1[[#This Row],[_min]]</f>
        <v>10.4131097560975</v>
      </c>
      <c r="Q60" s="1">
        <f>Table1[[#This Row],[_max]]</f>
        <v>197.84908536585249</v>
      </c>
      <c r="R60" s="1">
        <f>Table1[[#This Row],[_mean]]</f>
        <v>104.13109756097499</v>
      </c>
      <c r="S60" s="1" t="str">
        <f t="shared" si="5"/>
        <v>adjusted_rate</v>
      </c>
      <c r="T60" s="1" t="str">
        <f t="shared" ref="T60" si="78">_xlfn.CONCAT("['", C57, "' , '", C59, "']")</f>
        <v>['\lambda_{6}' , 'err_{6}']</v>
      </c>
      <c r="U60" s="1" t="str">
        <f t="shared" ref="U60" si="79">_xlfn.CONCAT("{", "}")</f>
        <v>{}</v>
      </c>
    </row>
    <row r="61" spans="1:21" x14ac:dyDescent="0.5">
      <c r="A61" s="1">
        <v>60</v>
      </c>
      <c r="B61" s="1">
        <f t="shared" si="2"/>
        <v>6</v>
      </c>
      <c r="C61" s="1" t="str">
        <f>_xlfn.CONCAT("c_{",Table1[[#This Row],[dm]], "}")</f>
        <v>c_{6}</v>
      </c>
      <c r="D61" s="1" t="str">
        <f>_xlfn.CONCAT("c_tas_", Table1[[#This Row],[dm]])</f>
        <v>c_tas_6</v>
      </c>
      <c r="E61" s="1" t="str">
        <f t="shared" si="3"/>
        <v>CUSTOM</v>
      </c>
      <c r="F61" s="1" t="str">
        <f>_xlfn.CONCAT("TAS ", Table1[[#This Row],[dm]], " resourses")</f>
        <v>TAS 6 resourses</v>
      </c>
      <c r="G61" s="1" t="str">
        <f>_xlfn.CONCAT("Number of resources allocated in TAS ",Table1[[#This Row],[dm]])</f>
        <v>Number of resources allocated in TAS 6</v>
      </c>
      <c r="H61" s="1" t="b">
        <f t="shared" ref="H61:K61" si="80">H50</f>
        <v>1</v>
      </c>
      <c r="I61" s="1" t="str">
        <f t="shared" si="80"/>
        <v>IN</v>
      </c>
      <c r="J61" s="1" t="str">
        <f t="shared" si="80"/>
        <v>E</v>
      </c>
      <c r="K61" s="1" t="str">
        <f t="shared" si="80"/>
        <v>req</v>
      </c>
      <c r="L61" s="1">
        <v>1</v>
      </c>
      <c r="M61" s="1">
        <f>Table1[[#This Row],[_min]]+2</f>
        <v>3</v>
      </c>
      <c r="N61" s="1">
        <f>AVERAGE(Table1[[#This Row],[_min]:[_max]])</f>
        <v>2</v>
      </c>
      <c r="O61" s="1" t="str">
        <f>Table1[[#This Row],[_units]]</f>
        <v>req</v>
      </c>
      <c r="P61" s="1">
        <f>Table1[[#This Row],[_min]]</f>
        <v>1</v>
      </c>
      <c r="Q61" s="1">
        <f>Table1[[#This Row],[_max]]</f>
        <v>3</v>
      </c>
      <c r="R61" s="1">
        <f>Table1[[#This Row],[_mean]]</f>
        <v>2</v>
      </c>
      <c r="S61" s="1" t="str">
        <f t="shared" si="5"/>
        <v>uniform_int</v>
      </c>
      <c r="T61" s="1" t="str">
        <f t="shared" si="0"/>
        <v>[]</v>
      </c>
      <c r="U61" s="1" t="str">
        <f>_xlfn.CONCAT("{'low': ", Table1[[#This Row],[_std_min]], ", 'high': ",Table1[[#This Row],[_std_max]],"}")</f>
        <v>{'low': 1, 'high': 3}</v>
      </c>
    </row>
    <row r="62" spans="1:21" x14ac:dyDescent="0.5">
      <c r="A62" s="1">
        <v>61</v>
      </c>
      <c r="B62" s="1">
        <f t="shared" si="2"/>
        <v>6</v>
      </c>
      <c r="C62" s="1" t="str">
        <f>_xlfn.CONCAT("K_{",Table1[[#This Row],[dm]],"}")</f>
        <v>K_{6}</v>
      </c>
      <c r="D62" s="1" t="str">
        <f>_xlfn.CONCAT("K_tas_", Table1[[#This Row],[dm]])</f>
        <v>K_tas_6</v>
      </c>
      <c r="E62" s="1" t="str">
        <f t="shared" si="3"/>
        <v>CUSTOM</v>
      </c>
      <c r="F62" s="1" t="str">
        <f>_xlfn.CONCAT("TAS ", Table1[[#This Row],[dm]], " q-capacity")</f>
        <v>TAS 6 q-capacity</v>
      </c>
      <c r="G62" s="1" t="str">
        <f>_xlfn.CONCAT("Allocated request capacity in TAS ",Table1[[#This Row],[dm]]," memory buffer")</f>
        <v>Allocated request capacity in TAS 6 memory buffer</v>
      </c>
      <c r="H62" s="1" t="b">
        <f t="shared" ref="H62:K62" si="81">H51</f>
        <v>1</v>
      </c>
      <c r="I62" s="1" t="str">
        <f t="shared" si="81"/>
        <v>CTRL</v>
      </c>
      <c r="J62" s="1" t="str">
        <f t="shared" si="81"/>
        <v>E</v>
      </c>
      <c r="K62" s="1" t="str">
        <f t="shared" si="81"/>
        <v>req</v>
      </c>
      <c r="L62" s="1">
        <v>1</v>
      </c>
      <c r="M62" s="1">
        <f>Table1[[#This Row],[_min]]+10</f>
        <v>11</v>
      </c>
      <c r="N62" s="1">
        <f>AVERAGE(Table1[[#This Row],[_min]:[_max]])</f>
        <v>6</v>
      </c>
      <c r="O62" s="1" t="str">
        <f>Table1[[#This Row],[_units]]</f>
        <v>req</v>
      </c>
      <c r="P62" s="1">
        <f>Table1[[#This Row],[_min]]</f>
        <v>1</v>
      </c>
      <c r="Q62" s="1">
        <f>Table1[[#This Row],[_max]]</f>
        <v>11</v>
      </c>
      <c r="R62" s="1">
        <f>Table1[[#This Row],[_mean]]</f>
        <v>6</v>
      </c>
      <c r="S62" s="1" t="str">
        <f t="shared" si="5"/>
        <v>shifted_uniform_int</v>
      </c>
      <c r="T62" s="1" t="str">
        <f t="shared" ref="T62" si="82">_xlfn.CONCAT("['", C61, "']")</f>
        <v>['c_{6}']</v>
      </c>
      <c r="U62" s="1" t="str">
        <f>_xlfn.CONCAT("{'low': ", Table1[[#This Row],[_std_min]], ", 'high': ",Table1[[#This Row],[_std_max]],"}")</f>
        <v>{'low': 1, 'high': 11}</v>
      </c>
    </row>
    <row r="63" spans="1:21" x14ac:dyDescent="0.5">
      <c r="A63" s="1">
        <v>62</v>
      </c>
      <c r="B63" s="1">
        <f t="shared" si="2"/>
        <v>6</v>
      </c>
      <c r="C63" s="1" t="str">
        <f>_xlfn.CONCAT("\delta_{", Table1[[#This Row],[dm]],"}")</f>
        <v>\delta_{6}</v>
      </c>
      <c r="D63" s="1" t="str">
        <f>_xlfn.CONCAT("delta_tas_", Table1[[#This Row],[dm]])</f>
        <v>delta_tas_6</v>
      </c>
      <c r="E63" s="1" t="str">
        <f t="shared" si="3"/>
        <v>CUSTOM</v>
      </c>
      <c r="F63" s="1" t="str">
        <f>_xlfn.CONCAT("TAS ", Table1[[#This Row],[dm]], " req data density")</f>
        <v>TAS 6 req data density</v>
      </c>
      <c r="G63" s="1" t="str">
        <f>_xlfn.CONCAT("Data density for request in TAS ", Table1[[#This Row],[dm]], " expected data per requests")</f>
        <v>Data density for request in TAS 6 expected data per requests</v>
      </c>
      <c r="H63" s="1" t="b">
        <f t="shared" ref="H63:K63" si="83">H52</f>
        <v>0</v>
      </c>
      <c r="I63" s="1" t="str">
        <f t="shared" si="83"/>
        <v>IN</v>
      </c>
      <c r="J63" s="1" t="str">
        <f t="shared" si="83"/>
        <v>D*E^-1</v>
      </c>
      <c r="K63" s="1" t="str">
        <f t="shared" si="83"/>
        <v>kB/req</v>
      </c>
      <c r="L63" s="1">
        <v>128</v>
      </c>
      <c r="M63" s="1">
        <f>2*1000</f>
        <v>2000</v>
      </c>
      <c r="N63" s="1">
        <f>AVERAGE(Table1[[#This Row],[_min]:[_max]])</f>
        <v>1064</v>
      </c>
      <c r="O63" s="1" t="s">
        <v>11</v>
      </c>
      <c r="P63" s="1">
        <f>Table1[[#This Row],[_min]]*1024000</f>
        <v>131072000</v>
      </c>
      <c r="Q63" s="1">
        <f>Table1[[#This Row],[_max]]*1024000</f>
        <v>2048000000</v>
      </c>
      <c r="R63" s="1">
        <f>Table1[[#This Row],[_mean]]*1024000</f>
        <v>1089536000</v>
      </c>
      <c r="S63" s="1" t="str">
        <f t="shared" si="5"/>
        <v>uniform</v>
      </c>
      <c r="T63" s="1" t="str">
        <f t="shared" si="0"/>
        <v>[]</v>
      </c>
      <c r="U63" s="1" t="str">
        <f>_xlfn.CONCAT("{'low': ", Table1[[#This Row],[_std_min]], ", 'high': ",Table1[[#This Row],[_std_max]],"}")</f>
        <v>{'low': 131072000, 'high': 2048000000}</v>
      </c>
    </row>
    <row r="64" spans="1:21" x14ac:dyDescent="0.5">
      <c r="A64" s="1">
        <v>63</v>
      </c>
      <c r="B64" s="1">
        <f t="shared" si="2"/>
        <v>6</v>
      </c>
      <c r="C64" s="1" t="str">
        <f>_xlfn.CONCAT("L_{",Table1[[#This Row],[dm]], "}")</f>
        <v>L_{6}</v>
      </c>
      <c r="D64" s="1" t="str">
        <f>_xlfn.CONCAT("L_tas_", Table1[[#This Row],[dm]])</f>
        <v>L_tas_6</v>
      </c>
      <c r="E64" s="1" t="str">
        <f t="shared" si="3"/>
        <v>CUSTOM</v>
      </c>
      <c r="F64" s="1" t="str">
        <f>_xlfn.CONCAT("TAS ", Table1[[#This Row],[dm]], " mean processing requests")</f>
        <v>TAS 6 mean processing requests</v>
      </c>
      <c r="G64" s="1" t="str">
        <f>_xlfn.CONCAT("Average number of request in TAS ",Table1[[#This Row],[dm]], " component")</f>
        <v>Average number of request in TAS 6 component</v>
      </c>
      <c r="H64" s="1" t="b">
        <f t="shared" ref="H64:K64" si="84">H53</f>
        <v>1</v>
      </c>
      <c r="I64" s="1" t="str">
        <f t="shared" si="84"/>
        <v>CTRL</v>
      </c>
      <c r="J64" s="1" t="str">
        <f t="shared" si="84"/>
        <v>E</v>
      </c>
      <c r="K64" s="1" t="str">
        <f t="shared" si="84"/>
        <v>req</v>
      </c>
      <c r="L64" s="1">
        <v>1</v>
      </c>
      <c r="M64" s="1">
        <f>Table1[[#This Row],[_min]]+10</f>
        <v>11</v>
      </c>
      <c r="N64" s="1">
        <f>AVERAGE(Table1[[#This Row],[_min]:[_max]])</f>
        <v>6</v>
      </c>
      <c r="O64" s="1" t="str">
        <f>Table1[[#This Row],[_units]]</f>
        <v>req</v>
      </c>
      <c r="P64" s="1">
        <f>Table1[[#This Row],[_min]]</f>
        <v>1</v>
      </c>
      <c r="Q64" s="1">
        <f>Table1[[#This Row],[_max]]</f>
        <v>11</v>
      </c>
      <c r="R64" s="1">
        <f>Table1[[#This Row],[_mean]]</f>
        <v>6</v>
      </c>
      <c r="S64" s="1" t="str">
        <f t="shared" si="5"/>
        <v>queue_length</v>
      </c>
      <c r="T64" s="1" t="str">
        <f t="shared" ref="T64" si="85">_xlfn.CONCAT("['", C57, "' , '", C58, "' , '", C61, "' , '", C62, "']")</f>
        <v>['\lambda_{6}' , '\mu_{6}' , 'c_{6}' , 'K_{6}']</v>
      </c>
      <c r="U64" s="1" t="str">
        <f t="shared" ref="U64:U67" si="86">_xlfn.CONCAT("{", "}")</f>
        <v>{}</v>
      </c>
    </row>
    <row r="65" spans="1:21" x14ac:dyDescent="0.5">
      <c r="A65" s="1">
        <v>64</v>
      </c>
      <c r="B65" s="1">
        <f t="shared" si="2"/>
        <v>6</v>
      </c>
      <c r="C65" s="1" t="str">
        <f>_xlfn.CONCAT("Lq_{",Table1[[#This Row],[dm]], "}")</f>
        <v>Lq_{6}</v>
      </c>
      <c r="D65" s="1" t="str">
        <f>_xlfn.CONCAT("Lq_tas_", Table1[[#This Row],[dm]])</f>
        <v>Lq_tas_6</v>
      </c>
      <c r="E65" s="1" t="str">
        <f t="shared" si="3"/>
        <v>CUSTOM</v>
      </c>
      <c r="F65" s="1" t="str">
        <f>_xlfn.CONCAT("TAS ", Table1[[#This Row],[dm]], " mean in memory requests")</f>
        <v>TAS 6 mean in memory requests</v>
      </c>
      <c r="G65" s="1" t="str">
        <f>_xlfn.CONCAT("Average number of request in TAS ",Table1[[#This Row],[dm]], " memory")</f>
        <v>Average number of request in TAS 6 memory</v>
      </c>
      <c r="H65" s="1" t="b">
        <f t="shared" ref="H65:K65" si="87">H54</f>
        <v>0</v>
      </c>
      <c r="I65" s="1" t="str">
        <f t="shared" si="87"/>
        <v>CTRL</v>
      </c>
      <c r="J65" s="1" t="str">
        <f t="shared" si="87"/>
        <v>E</v>
      </c>
      <c r="K65" s="1" t="str">
        <f t="shared" si="87"/>
        <v>req</v>
      </c>
      <c r="L65" s="1">
        <v>1</v>
      </c>
      <c r="M65" s="1">
        <f>Table1[[#This Row],[_min]]+10</f>
        <v>11</v>
      </c>
      <c r="N65" s="1">
        <f>AVERAGE(Table1[[#This Row],[_min]:[_max]])</f>
        <v>6</v>
      </c>
      <c r="O65" s="1" t="str">
        <f>Table1[[#This Row],[_units]]</f>
        <v>req</v>
      </c>
      <c r="P65" s="1">
        <f>Table1[[#This Row],[_min]]</f>
        <v>1</v>
      </c>
      <c r="Q65" s="1">
        <f>Table1[[#This Row],[_max]]</f>
        <v>11</v>
      </c>
      <c r="R65" s="1">
        <f>Table1[[#This Row],[_mean]]</f>
        <v>6</v>
      </c>
      <c r="S65" s="1" t="str">
        <f t="shared" si="5"/>
        <v>queue_length</v>
      </c>
      <c r="T65" s="1" t="str">
        <f t="shared" ref="T65" si="88">_xlfn.CONCAT("['", C57, "' , '", C58, "' , '", C61, "' , '", C62, "']")</f>
        <v>['\lambda_{6}' , '\mu_{6}' , 'c_{6}' , 'K_{6}']</v>
      </c>
      <c r="U65" s="1" t="str">
        <f t="shared" si="86"/>
        <v>{}</v>
      </c>
    </row>
    <row r="66" spans="1:21" x14ac:dyDescent="0.5">
      <c r="A66" s="1">
        <v>65</v>
      </c>
      <c r="B66" s="1">
        <f t="shared" si="2"/>
        <v>6</v>
      </c>
      <c r="C66" s="1" t="str">
        <f>_xlfn.CONCAT("W_{",Table1[[#This Row],[dm]], "}")</f>
        <v>W_{6}</v>
      </c>
      <c r="D66" s="1" t="str">
        <f>_xlfn.CONCAT("W_tas_", Table1[[#This Row],[dm]])</f>
        <v>W_tas_6</v>
      </c>
      <c r="E66" s="1" t="str">
        <f t="shared" si="3"/>
        <v>CUSTOM</v>
      </c>
      <c r="F66" s="1" t="str">
        <f>_xlfn.CONCAT("TAS ", Table1[[#This Row],[dm]], " mean time to answer")</f>
        <v>TAS 6 mean time to answer</v>
      </c>
      <c r="G66" s="1" t="str">
        <f>_xlfn.CONCAT("Average time to complete a request in TAS ",Table1[[#This Row],[dm]])</f>
        <v>Average time to complete a request in TAS 6</v>
      </c>
      <c r="H66" s="1" t="b">
        <f t="shared" ref="H66:K66" si="89">H55</f>
        <v>1</v>
      </c>
      <c r="I66" s="1" t="str">
        <f t="shared" si="89"/>
        <v>OUT</v>
      </c>
      <c r="J66" s="1" t="str">
        <f t="shared" si="89"/>
        <v>T</v>
      </c>
      <c r="K66" s="1" t="str">
        <f t="shared" si="89"/>
        <v>s</v>
      </c>
      <c r="L66" s="1">
        <v>0</v>
      </c>
      <c r="M66" s="8">
        <v>2.1801262878032499E-2</v>
      </c>
      <c r="N66" s="8">
        <v>2.1801262878032499E-2</v>
      </c>
      <c r="O66" s="1" t="str">
        <f>Table1[[#This Row],[_units]]</f>
        <v>s</v>
      </c>
      <c r="P66" s="1">
        <f>Table1[[#This Row],[_min]]</f>
        <v>0</v>
      </c>
      <c r="Q66" s="1">
        <f>Table1[[#This Row],[_max]]</f>
        <v>2.1801262878032499E-2</v>
      </c>
      <c r="R66" s="1">
        <f>Table1[[#This Row],[_mean]]</f>
        <v>2.1801262878032499E-2</v>
      </c>
      <c r="S66" s="1" t="str">
        <f t="shared" si="5"/>
        <v>queue_time</v>
      </c>
      <c r="T66" s="1" t="str">
        <f t="shared" ref="T66" si="90">_xlfn.CONCAT("['", C60, "' , '", C64, "']")</f>
        <v>['\chi_{6}' , 'L_{6}']</v>
      </c>
      <c r="U66" s="1" t="str">
        <f t="shared" si="86"/>
        <v>{}</v>
      </c>
    </row>
    <row r="67" spans="1:21" x14ac:dyDescent="0.5">
      <c r="A67" s="1">
        <v>66</v>
      </c>
      <c r="B67" s="1">
        <f t="shared" si="2"/>
        <v>6</v>
      </c>
      <c r="C67" s="1" t="str">
        <f>_xlfn.CONCAT("Wq_{",Table1[[#This Row],[dm]], "}")</f>
        <v>Wq_{6}</v>
      </c>
      <c r="D67" s="1" t="str">
        <f>_xlfn.CONCAT("Wq_tas_", Table1[[#This Row],[dm]])</f>
        <v>Wq_tas_6</v>
      </c>
      <c r="E67" s="1" t="str">
        <f t="shared" si="3"/>
        <v>CUSTOM</v>
      </c>
      <c r="F67" s="1" t="str">
        <f>_xlfn.CONCAT("TAS ", Table1[[#This Row],[dm]], " mean time in buffer")</f>
        <v>TAS 6 mean time in buffer</v>
      </c>
      <c r="G67" s="1" t="str">
        <f>_xlfn.CONCAT("Average time for a request to transit the buffer in TAS ",Table1[[#This Row],[dm]])</f>
        <v>Average time for a request to transit the buffer in TAS 6</v>
      </c>
      <c r="H67" s="1" t="b">
        <f t="shared" ref="H67:K67" si="91">H56</f>
        <v>0</v>
      </c>
      <c r="I67" s="1" t="str">
        <f t="shared" si="91"/>
        <v>CTRL</v>
      </c>
      <c r="J67" s="1" t="str">
        <f t="shared" si="91"/>
        <v>T</v>
      </c>
      <c r="K67" s="1" t="str">
        <f t="shared" si="91"/>
        <v>s</v>
      </c>
      <c r="L67" s="1">
        <v>0</v>
      </c>
      <c r="M67" s="8">
        <v>1.5134596211365901E-2</v>
      </c>
      <c r="N67" s="8">
        <v>1.5134596211365901E-2</v>
      </c>
      <c r="O67" s="1" t="str">
        <f>Table1[[#This Row],[_units]]</f>
        <v>s</v>
      </c>
      <c r="P67" s="1">
        <f>Table1[[#This Row],[_min]]</f>
        <v>0</v>
      </c>
      <c r="Q67" s="1">
        <f>Table1[[#This Row],[_max]]</f>
        <v>1.5134596211365901E-2</v>
      </c>
      <c r="R67" s="1">
        <f>Table1[[#This Row],[_mean]]</f>
        <v>1.5134596211365901E-2</v>
      </c>
      <c r="S67" s="1" t="str">
        <f t="shared" si="5"/>
        <v>queue_time</v>
      </c>
      <c r="T67" s="1" t="str">
        <f t="shared" ref="T67" si="92">_xlfn.CONCAT("['", C60, "' , '", C65, "']")</f>
        <v>['\chi_{6}' , 'Lq_{6}']</v>
      </c>
      <c r="U67" s="1" t="str">
        <f t="shared" si="86"/>
        <v>{}</v>
      </c>
    </row>
    <row r="68" spans="1:21" x14ac:dyDescent="0.5">
      <c r="A68" s="1">
        <v>67</v>
      </c>
      <c r="B68" s="1">
        <f t="shared" si="2"/>
        <v>7</v>
      </c>
      <c r="C68" s="1" t="str">
        <f>_xlfn.CONCAT("\lambda_{", Table1[[#This Row],[dm]],"}")</f>
        <v>\lambda_{7}</v>
      </c>
      <c r="D68" s="1" t="str">
        <f>_xlfn.CONCAT("lambda_tas_", Table1[[#This Row],[dm]])</f>
        <v>lambda_tas_7</v>
      </c>
      <c r="E68" s="1" t="str">
        <f t="shared" si="3"/>
        <v>CUSTOM</v>
      </c>
      <c r="F68" s="1" t="str">
        <f>_xlfn.CONCAT("TAS ", Table1[[#This Row],[dm]], " arrival rate")</f>
        <v>TAS 7 arrival rate</v>
      </c>
      <c r="G68" s="1" t="str">
        <f>_xlfn.CONCAT("Arrival rate for TAS ",Table1[[#This Row],[dm]])</f>
        <v>Arrival rate for TAS 7</v>
      </c>
      <c r="H68" s="1" t="b">
        <f t="shared" ref="H68:K68" si="93">H57</f>
        <v>1</v>
      </c>
      <c r="I68" s="1" t="str">
        <f t="shared" si="93"/>
        <v>IN</v>
      </c>
      <c r="J68" s="1" t="str">
        <f t="shared" si="93"/>
        <v>E*T^-1</v>
      </c>
      <c r="K68" s="1" t="str">
        <f t="shared" si="93"/>
        <v>req/s</v>
      </c>
      <c r="L68" s="1">
        <f>0.1*64.2740814606741</f>
        <v>6.4274081460674104</v>
      </c>
      <c r="M68" s="7">
        <f>1.9*64.2740814606741</f>
        <v>122.12075477528077</v>
      </c>
      <c r="N68" s="1">
        <f>AVERAGE(Table1[[#This Row],[_min]:[_max]])</f>
        <v>64.274081460674097</v>
      </c>
      <c r="O68" s="1" t="str">
        <f>Table1[[#This Row],[_units]]</f>
        <v>req/s</v>
      </c>
      <c r="P68" s="1">
        <f>Table1[[#This Row],[_min]]</f>
        <v>6.4274081460674104</v>
      </c>
      <c r="Q68" s="1">
        <f>Table1[[#This Row],[_max]]</f>
        <v>122.12075477528077</v>
      </c>
      <c r="R68" s="1">
        <f>Table1[[#This Row],[_mean]]</f>
        <v>64.274081460674097</v>
      </c>
      <c r="S68" s="1" t="str">
        <f t="shared" si="5"/>
        <v>uniform</v>
      </c>
      <c r="T68" s="1" t="str">
        <f t="shared" si="0"/>
        <v>[]</v>
      </c>
      <c r="U68" s="1" t="str">
        <f>_xlfn.CONCAT("{'low': ", Table1[[#This Row],[_std_min]], ", 'high': ",Table1[[#This Row],[_std_max]],"}")</f>
        <v>{'low': 6.42740814606741, 'high': 122.120754775281}</v>
      </c>
    </row>
    <row r="69" spans="1:21" x14ac:dyDescent="0.5">
      <c r="A69" s="1">
        <v>68</v>
      </c>
      <c r="B69" s="1">
        <f t="shared" si="2"/>
        <v>7</v>
      </c>
      <c r="C69" s="1" t="str">
        <f>_xlfn.CONCAT("\mu_{",Table1[[#This Row],[dm]], "}")</f>
        <v>\mu_{7}</v>
      </c>
      <c r="D69" s="1" t="str">
        <f>_xlfn.CONCAT("mu_tas_", Table1[[#This Row],[dm]])</f>
        <v>mu_tas_7</v>
      </c>
      <c r="E69" s="1" t="str">
        <f t="shared" si="3"/>
        <v>CUSTOM</v>
      </c>
      <c r="F69" s="1" t="str">
        <f>_xlfn.CONCAT("TAS ", Table1[[#This Row],[dm]], " service rate")</f>
        <v>TAS 7 service rate</v>
      </c>
      <c r="G69" s="1" t="str">
        <f>_xlfn.CONCAT("Service rate for TAS ",Table1[[#This Row],[dm]])</f>
        <v>Service rate for TAS 7</v>
      </c>
      <c r="H69" s="1" t="b">
        <f t="shared" ref="H69:K69" si="94">H58</f>
        <v>1</v>
      </c>
      <c r="I69" s="1" t="str">
        <f t="shared" si="94"/>
        <v>CTRL</v>
      </c>
      <c r="J69" s="1" t="str">
        <f t="shared" si="94"/>
        <v>E*T^-1</v>
      </c>
      <c r="K69" s="1" t="str">
        <f t="shared" si="94"/>
        <v>req/s</v>
      </c>
      <c r="L69" s="1">
        <f>0.1*700</f>
        <v>70</v>
      </c>
      <c r="M69" s="5">
        <f>1.9*700</f>
        <v>1330</v>
      </c>
      <c r="N69" s="4">
        <f>AVERAGE(Table1[[#This Row],[_min]:[_max]])</f>
        <v>700</v>
      </c>
      <c r="O69" s="1" t="str">
        <f>Table1[[#This Row],[_units]]</f>
        <v>req/s</v>
      </c>
      <c r="P69" s="1">
        <f>Table1[[#This Row],[_min]]</f>
        <v>70</v>
      </c>
      <c r="Q69" s="1">
        <f>Table1[[#This Row],[_max]]</f>
        <v>1330</v>
      </c>
      <c r="R69" s="1">
        <f>Table1[[#This Row],[_mean]]</f>
        <v>700</v>
      </c>
      <c r="S69" s="1" t="str">
        <f t="shared" si="5"/>
        <v>uniform</v>
      </c>
      <c r="T69" s="1" t="str">
        <f t="shared" si="0"/>
        <v>[]</v>
      </c>
      <c r="U69" s="1" t="str">
        <f>_xlfn.CONCAT("{'low': ", Table1[[#This Row],[_std_min]], ", 'high': ",Table1[[#This Row],[_std_max]],"}")</f>
        <v>{'low': 70, 'high': 1330}</v>
      </c>
    </row>
    <row r="70" spans="1:21" x14ac:dyDescent="0.5">
      <c r="A70" s="1">
        <v>69</v>
      </c>
      <c r="B70" s="1">
        <f t="shared" si="2"/>
        <v>7</v>
      </c>
      <c r="C70" s="1" t="str">
        <f>_xlfn.CONCAT("err_{",Table1[[#This Row],[dm]], "}")</f>
        <v>err_{7}</v>
      </c>
      <c r="D70" s="1" t="str">
        <f>_xlfn.CONCAT("err_tas_", Table1[[#This Row],[dm]])</f>
        <v>err_tas_7</v>
      </c>
      <c r="E70" s="1" t="str">
        <f t="shared" si="3"/>
        <v>CUSTOM</v>
      </c>
      <c r="F70" s="1" t="str">
        <f>_xlfn.CONCAT("TAS ", Table1[[#This Row],[dm]], " error probability")</f>
        <v>TAS 7 error probability</v>
      </c>
      <c r="G70" s="1" t="str">
        <f>_xlfn.CONCAT("Service error probability for TAS ",Table1[[#This Row],[dm]])</f>
        <v>Service error probability for TAS 7</v>
      </c>
      <c r="H70" s="1" t="b">
        <f t="shared" ref="H70:K70" si="95">H59</f>
        <v>0</v>
      </c>
      <c r="I70" s="1" t="str">
        <f t="shared" si="95"/>
        <v>CTRL</v>
      </c>
      <c r="J70" s="1" t="str">
        <f t="shared" si="95"/>
        <v>E*T^-1</v>
      </c>
      <c r="K70" s="1" t="str">
        <f t="shared" si="95"/>
        <v>n.a.</v>
      </c>
      <c r="L70" s="3">
        <v>0.11</v>
      </c>
      <c r="M70" s="3">
        <v>0.11</v>
      </c>
      <c r="N70" s="3">
        <f>AVERAGE(Table1[[#This Row],[_min]:[_max]])</f>
        <v>0.11</v>
      </c>
      <c r="O70" s="1" t="str">
        <f>Table1[[#This Row],[_units]]</f>
        <v>n.a.</v>
      </c>
      <c r="P70" s="1">
        <f>Table1[[#This Row],[_min]]</f>
        <v>0.11</v>
      </c>
      <c r="Q70" s="1">
        <f>Table1[[#This Row],[_max]]</f>
        <v>0.11</v>
      </c>
      <c r="R70" s="1">
        <f>Table1[[#This Row],[_mean]]</f>
        <v>0.11</v>
      </c>
      <c r="S70" s="1" t="str">
        <f t="shared" si="5"/>
        <v>adjusted_uniform</v>
      </c>
      <c r="T70" s="1" t="str">
        <f t="shared" si="0"/>
        <v>[]</v>
      </c>
      <c r="U70" s="1" t="str">
        <f>_xlfn.CONCAT("{'constant': ",Table1[[#This Row],[_std_max]],"}")</f>
        <v>{'constant': 0.11}</v>
      </c>
    </row>
    <row r="71" spans="1:21" x14ac:dyDescent="0.5">
      <c r="A71" s="1">
        <v>70</v>
      </c>
      <c r="B71" s="1">
        <f t="shared" si="2"/>
        <v>7</v>
      </c>
      <c r="C71" s="1" t="str">
        <f>_xlfn.CONCAT("\chi_{",Table1[[#This Row],[dm]], "}")</f>
        <v>\chi_{7}</v>
      </c>
      <c r="D71" s="1" t="str">
        <f>_xlfn.CONCAT("chi_tas_", Table1[[#This Row],[dm]])</f>
        <v>chi_tas_7</v>
      </c>
      <c r="E71" s="1" t="str">
        <f t="shared" si="3"/>
        <v>CUSTOM</v>
      </c>
      <c r="F71" s="1" t="str">
        <f>_xlfn.CONCAT("TAS ", Table1[[#This Row],[dm]], " departure rate")</f>
        <v>TAS 7 departure rate</v>
      </c>
      <c r="G71" s="1" t="str">
        <f>_xlfn.CONCAT("Departure rate for TAS ",Table1[[#This Row],[dm]])</f>
        <v>Departure rate for TAS 7</v>
      </c>
      <c r="H71" s="1" t="b">
        <f t="shared" ref="H71:K71" si="96">H60</f>
        <v>1</v>
      </c>
      <c r="I71" s="1" t="str">
        <f t="shared" si="96"/>
        <v>CTRL</v>
      </c>
      <c r="J71" s="1" t="str">
        <f t="shared" si="96"/>
        <v>E*T^-1</v>
      </c>
      <c r="K71" s="1" t="str">
        <f t="shared" si="96"/>
        <v>req/s</v>
      </c>
      <c r="L71" s="1">
        <f>0.1*64.2740814606741</f>
        <v>6.4274081460674104</v>
      </c>
      <c r="M71" s="7">
        <f>1.9*64.2740814606741</f>
        <v>122.12075477528077</v>
      </c>
      <c r="N71" s="6">
        <f>AVERAGE(Table1[[#This Row],[_min]:[_max]])</f>
        <v>64.274081460674097</v>
      </c>
      <c r="O71" s="1" t="str">
        <f>Table1[[#This Row],[_units]]</f>
        <v>req/s</v>
      </c>
      <c r="P71" s="1">
        <f>Table1[[#This Row],[_min]]</f>
        <v>6.4274081460674104</v>
      </c>
      <c r="Q71" s="1">
        <f>Table1[[#This Row],[_max]]</f>
        <v>122.12075477528077</v>
      </c>
      <c r="R71" s="1">
        <f>Table1[[#This Row],[_mean]]</f>
        <v>64.274081460674097</v>
      </c>
      <c r="S71" s="1" t="str">
        <f t="shared" si="5"/>
        <v>adjusted_rate</v>
      </c>
      <c r="T71" s="1" t="str">
        <f t="shared" ref="T71" si="97">_xlfn.CONCAT("['", C68, "' , '", C70, "']")</f>
        <v>['\lambda_{7}' , 'err_{7}']</v>
      </c>
      <c r="U71" s="1" t="str">
        <f t="shared" ref="U71" si="98">_xlfn.CONCAT("{", "}")</f>
        <v>{}</v>
      </c>
    </row>
    <row r="72" spans="1:21" x14ac:dyDescent="0.5">
      <c r="A72" s="1">
        <v>71</v>
      </c>
      <c r="B72" s="1">
        <f t="shared" si="2"/>
        <v>7</v>
      </c>
      <c r="C72" s="1" t="str">
        <f>_xlfn.CONCAT("c_{",Table1[[#This Row],[dm]], "}")</f>
        <v>c_{7}</v>
      </c>
      <c r="D72" s="1" t="str">
        <f>_xlfn.CONCAT("c_tas_", Table1[[#This Row],[dm]])</f>
        <v>c_tas_7</v>
      </c>
      <c r="E72" s="1" t="str">
        <f t="shared" si="3"/>
        <v>CUSTOM</v>
      </c>
      <c r="F72" s="1" t="str">
        <f>_xlfn.CONCAT("TAS ", Table1[[#This Row],[dm]], " resourses")</f>
        <v>TAS 7 resourses</v>
      </c>
      <c r="G72" s="1" t="str">
        <f>_xlfn.CONCAT("Number of resources allocated in TAS ",Table1[[#This Row],[dm]])</f>
        <v>Number of resources allocated in TAS 7</v>
      </c>
      <c r="H72" s="1" t="b">
        <f t="shared" ref="H72:K72" si="99">H61</f>
        <v>1</v>
      </c>
      <c r="I72" s="1" t="str">
        <f t="shared" si="99"/>
        <v>IN</v>
      </c>
      <c r="J72" s="1" t="str">
        <f t="shared" si="99"/>
        <v>E</v>
      </c>
      <c r="K72" s="1" t="str">
        <f t="shared" si="99"/>
        <v>req</v>
      </c>
      <c r="L72" s="1">
        <v>1</v>
      </c>
      <c r="M72" s="1">
        <f>Table1[[#This Row],[_min]]+1</f>
        <v>2</v>
      </c>
      <c r="N72" s="1">
        <f>AVERAGE(Table1[[#This Row],[_min]:[_max]])</f>
        <v>1.5</v>
      </c>
      <c r="O72" s="1" t="str">
        <f>Table1[[#This Row],[_units]]</f>
        <v>req</v>
      </c>
      <c r="P72" s="1">
        <f>Table1[[#This Row],[_min]]</f>
        <v>1</v>
      </c>
      <c r="Q72" s="1">
        <f>Table1[[#This Row],[_max]]</f>
        <v>2</v>
      </c>
      <c r="R72" s="1">
        <f>Table1[[#This Row],[_mean]]</f>
        <v>1.5</v>
      </c>
      <c r="S72" s="1" t="str">
        <f t="shared" si="5"/>
        <v>uniform_int</v>
      </c>
      <c r="T72" s="1" t="str">
        <f t="shared" si="0"/>
        <v>[]</v>
      </c>
      <c r="U72" s="1" t="str">
        <f>_xlfn.CONCAT("{'low': ", Table1[[#This Row],[_std_min]], ", 'high': ",Table1[[#This Row],[_std_max]],"}")</f>
        <v>{'low': 1, 'high': 2}</v>
      </c>
    </row>
    <row r="73" spans="1:21" x14ac:dyDescent="0.5">
      <c r="A73" s="1">
        <v>72</v>
      </c>
      <c r="B73" s="1">
        <f t="shared" si="2"/>
        <v>7</v>
      </c>
      <c r="C73" s="1" t="str">
        <f>_xlfn.CONCAT("K_{",Table1[[#This Row],[dm]],"}")</f>
        <v>K_{7}</v>
      </c>
      <c r="D73" s="1" t="str">
        <f>_xlfn.CONCAT("K_tas_", Table1[[#This Row],[dm]])</f>
        <v>K_tas_7</v>
      </c>
      <c r="E73" s="1" t="str">
        <f t="shared" si="3"/>
        <v>CUSTOM</v>
      </c>
      <c r="F73" s="1" t="str">
        <f>_xlfn.CONCAT("TAS ", Table1[[#This Row],[dm]], " q-capacity")</f>
        <v>TAS 7 q-capacity</v>
      </c>
      <c r="G73" s="1" t="str">
        <f>_xlfn.CONCAT("Allocated request capacity in TAS ",Table1[[#This Row],[dm]]," memory buffer")</f>
        <v>Allocated request capacity in TAS 7 memory buffer</v>
      </c>
      <c r="H73" s="1" t="b">
        <f t="shared" ref="H73:K73" si="100">H62</f>
        <v>1</v>
      </c>
      <c r="I73" s="1" t="str">
        <f t="shared" si="100"/>
        <v>CTRL</v>
      </c>
      <c r="J73" s="1" t="str">
        <f t="shared" si="100"/>
        <v>E</v>
      </c>
      <c r="K73" s="1" t="str">
        <f t="shared" si="100"/>
        <v>req</v>
      </c>
      <c r="L73" s="1">
        <v>1</v>
      </c>
      <c r="M73" s="1">
        <f>Table1[[#This Row],[_min]]+10</f>
        <v>11</v>
      </c>
      <c r="N73" s="1">
        <f>AVERAGE(Table1[[#This Row],[_min]:[_max]])</f>
        <v>6</v>
      </c>
      <c r="O73" s="1" t="str">
        <f>Table1[[#This Row],[_units]]</f>
        <v>req</v>
      </c>
      <c r="P73" s="1">
        <f>Table1[[#This Row],[_min]]</f>
        <v>1</v>
      </c>
      <c r="Q73" s="1">
        <f>Table1[[#This Row],[_max]]</f>
        <v>11</v>
      </c>
      <c r="R73" s="1">
        <f>Table1[[#This Row],[_mean]]</f>
        <v>6</v>
      </c>
      <c r="S73" s="1" t="str">
        <f t="shared" si="5"/>
        <v>shifted_uniform_int</v>
      </c>
      <c r="T73" s="1" t="str">
        <f t="shared" ref="T73" si="101">_xlfn.CONCAT("['", C72, "']")</f>
        <v>['c_{7}']</v>
      </c>
      <c r="U73" s="1" t="str">
        <f>_xlfn.CONCAT("{'low': ", Table1[[#This Row],[_std_min]], ", 'high': ",Table1[[#This Row],[_std_max]],"}")</f>
        <v>{'low': 1, 'high': 11}</v>
      </c>
    </row>
    <row r="74" spans="1:21" x14ac:dyDescent="0.5">
      <c r="A74" s="1">
        <v>73</v>
      </c>
      <c r="B74" s="1">
        <f t="shared" si="2"/>
        <v>7</v>
      </c>
      <c r="C74" s="1" t="str">
        <f>_xlfn.CONCAT("\delta_{", Table1[[#This Row],[dm]],"}")</f>
        <v>\delta_{7}</v>
      </c>
      <c r="D74" s="1" t="str">
        <f>_xlfn.CONCAT("delta_tas_", Table1[[#This Row],[dm]])</f>
        <v>delta_tas_7</v>
      </c>
      <c r="E74" s="1" t="str">
        <f t="shared" si="3"/>
        <v>CUSTOM</v>
      </c>
      <c r="F74" s="1" t="str">
        <f>_xlfn.CONCAT("TAS ", Table1[[#This Row],[dm]], " req data density")</f>
        <v>TAS 7 req data density</v>
      </c>
      <c r="G74" s="1" t="str">
        <f>_xlfn.CONCAT("Data density for request in TAS ", Table1[[#This Row],[dm]], " expected data per requests")</f>
        <v>Data density for request in TAS 7 expected data per requests</v>
      </c>
      <c r="H74" s="1" t="b">
        <f t="shared" ref="H74:K74" si="102">H63</f>
        <v>0</v>
      </c>
      <c r="I74" s="1" t="str">
        <f t="shared" si="102"/>
        <v>IN</v>
      </c>
      <c r="J74" s="1" t="str">
        <f t="shared" si="102"/>
        <v>D*E^-1</v>
      </c>
      <c r="K74" s="1" t="str">
        <f t="shared" si="102"/>
        <v>kB/req</v>
      </c>
      <c r="L74" s="1">
        <v>128</v>
      </c>
      <c r="M74" s="1">
        <f>2*1000</f>
        <v>2000</v>
      </c>
      <c r="N74" s="1">
        <f>AVERAGE(Table1[[#This Row],[_min]:[_max]])</f>
        <v>1064</v>
      </c>
      <c r="O74" s="1" t="s">
        <v>11</v>
      </c>
      <c r="P74" s="1">
        <f>Table1[[#This Row],[_min]]*1024000</f>
        <v>131072000</v>
      </c>
      <c r="Q74" s="1">
        <f>Table1[[#This Row],[_max]]*1024000</f>
        <v>2048000000</v>
      </c>
      <c r="R74" s="1">
        <f>Table1[[#This Row],[_mean]]*1024000</f>
        <v>1089536000</v>
      </c>
      <c r="S74" s="1" t="str">
        <f t="shared" si="5"/>
        <v>uniform</v>
      </c>
      <c r="T74" s="1" t="str">
        <f t="shared" si="0"/>
        <v>[]</v>
      </c>
      <c r="U74" s="1" t="str">
        <f>_xlfn.CONCAT("{'low': ", Table1[[#This Row],[_std_min]], ", 'high': ",Table1[[#This Row],[_std_max]],"}")</f>
        <v>{'low': 131072000, 'high': 2048000000}</v>
      </c>
    </row>
    <row r="75" spans="1:21" x14ac:dyDescent="0.5">
      <c r="A75" s="1">
        <v>74</v>
      </c>
      <c r="B75" s="1">
        <f t="shared" si="2"/>
        <v>7</v>
      </c>
      <c r="C75" s="1" t="str">
        <f>_xlfn.CONCAT("L_{",Table1[[#This Row],[dm]], "}")</f>
        <v>L_{7}</v>
      </c>
      <c r="D75" s="1" t="str">
        <f>_xlfn.CONCAT("L_tas_", Table1[[#This Row],[dm]])</f>
        <v>L_tas_7</v>
      </c>
      <c r="E75" s="1" t="str">
        <f t="shared" si="3"/>
        <v>CUSTOM</v>
      </c>
      <c r="F75" s="1" t="str">
        <f>_xlfn.CONCAT("TAS ", Table1[[#This Row],[dm]], " mean processing requests")</f>
        <v>TAS 7 mean processing requests</v>
      </c>
      <c r="G75" s="1" t="str">
        <f>_xlfn.CONCAT("Average number of request in TAS ",Table1[[#This Row],[dm]], " component")</f>
        <v>Average number of request in TAS 7 component</v>
      </c>
      <c r="H75" s="1" t="b">
        <f t="shared" ref="H75:K75" si="103">H64</f>
        <v>1</v>
      </c>
      <c r="I75" s="1" t="str">
        <f t="shared" si="103"/>
        <v>CTRL</v>
      </c>
      <c r="J75" s="1" t="str">
        <f t="shared" si="103"/>
        <v>E</v>
      </c>
      <c r="K75" s="1" t="str">
        <f t="shared" si="103"/>
        <v>req</v>
      </c>
      <c r="L75" s="1">
        <v>1</v>
      </c>
      <c r="M75" s="1">
        <f>Table1[[#This Row],[_min]]+10</f>
        <v>11</v>
      </c>
      <c r="N75" s="1">
        <f>AVERAGE(Table1[[#This Row],[_min]:[_max]])</f>
        <v>6</v>
      </c>
      <c r="O75" s="1" t="str">
        <f>Table1[[#This Row],[_units]]</f>
        <v>req</v>
      </c>
      <c r="P75" s="1">
        <f>Table1[[#This Row],[_min]]</f>
        <v>1</v>
      </c>
      <c r="Q75" s="1">
        <f>Table1[[#This Row],[_max]]</f>
        <v>11</v>
      </c>
      <c r="R75" s="1">
        <f>Table1[[#This Row],[_mean]]</f>
        <v>6</v>
      </c>
      <c r="S75" s="1" t="str">
        <f t="shared" si="5"/>
        <v>queue_length</v>
      </c>
      <c r="T75" s="1" t="str">
        <f t="shared" ref="T75" si="104">_xlfn.CONCAT("['", C68, "' , '", C69, "' , '", C72, "' , '", C73, "']")</f>
        <v>['\lambda_{7}' , '\mu_{7}' , 'c_{7}' , 'K_{7}']</v>
      </c>
      <c r="U75" s="1" t="str">
        <f t="shared" ref="U75:U78" si="105">_xlfn.CONCAT("{", "}")</f>
        <v>{}</v>
      </c>
    </row>
    <row r="76" spans="1:21" x14ac:dyDescent="0.5">
      <c r="A76" s="1">
        <v>75</v>
      </c>
      <c r="B76" s="1">
        <f t="shared" si="2"/>
        <v>7</v>
      </c>
      <c r="C76" s="1" t="str">
        <f>_xlfn.CONCAT("Lq_{",Table1[[#This Row],[dm]], "}")</f>
        <v>Lq_{7}</v>
      </c>
      <c r="D76" s="1" t="str">
        <f>_xlfn.CONCAT("Lq_tas_", Table1[[#This Row],[dm]])</f>
        <v>Lq_tas_7</v>
      </c>
      <c r="E76" s="1" t="str">
        <f t="shared" si="3"/>
        <v>CUSTOM</v>
      </c>
      <c r="F76" s="1" t="str">
        <f>_xlfn.CONCAT("TAS ", Table1[[#This Row],[dm]], " mean in memory requests")</f>
        <v>TAS 7 mean in memory requests</v>
      </c>
      <c r="G76" s="1" t="str">
        <f>_xlfn.CONCAT("Average number of request in TAS ",Table1[[#This Row],[dm]], " memory")</f>
        <v>Average number of request in TAS 7 memory</v>
      </c>
      <c r="H76" s="1" t="b">
        <f t="shared" ref="H76:K76" si="106">H65</f>
        <v>0</v>
      </c>
      <c r="I76" s="1" t="str">
        <f t="shared" si="106"/>
        <v>CTRL</v>
      </c>
      <c r="J76" s="1" t="str">
        <f t="shared" si="106"/>
        <v>E</v>
      </c>
      <c r="K76" s="1" t="str">
        <f t="shared" si="106"/>
        <v>req</v>
      </c>
      <c r="L76" s="1">
        <v>1</v>
      </c>
      <c r="M76" s="1">
        <f>Table1[[#This Row],[_min]]+10</f>
        <v>11</v>
      </c>
      <c r="N76" s="1">
        <f>AVERAGE(Table1[[#This Row],[_min]:[_max]])</f>
        <v>6</v>
      </c>
      <c r="O76" s="1" t="str">
        <f>Table1[[#This Row],[_units]]</f>
        <v>req</v>
      </c>
      <c r="P76" s="1">
        <f>Table1[[#This Row],[_min]]</f>
        <v>1</v>
      </c>
      <c r="Q76" s="1">
        <f>Table1[[#This Row],[_max]]</f>
        <v>11</v>
      </c>
      <c r="R76" s="1">
        <f>Table1[[#This Row],[_mean]]</f>
        <v>6</v>
      </c>
      <c r="S76" s="1" t="str">
        <f t="shared" si="5"/>
        <v>queue_length</v>
      </c>
      <c r="T76" s="1" t="str">
        <f t="shared" ref="T76" si="107">_xlfn.CONCAT("['", C68, "' , '", C69, "' , '", C72, "' , '", C73, "']")</f>
        <v>['\lambda_{7}' , '\mu_{7}' , 'c_{7}' , 'K_{7}']</v>
      </c>
      <c r="U76" s="1" t="str">
        <f t="shared" si="105"/>
        <v>{}</v>
      </c>
    </row>
    <row r="77" spans="1:21" x14ac:dyDescent="0.5">
      <c r="A77" s="1">
        <v>76</v>
      </c>
      <c r="B77" s="1">
        <f t="shared" si="2"/>
        <v>7</v>
      </c>
      <c r="C77" s="1" t="str">
        <f>_xlfn.CONCAT("W_{",Table1[[#This Row],[dm]], "}")</f>
        <v>W_{7}</v>
      </c>
      <c r="D77" s="1" t="str">
        <f>_xlfn.CONCAT("W_tas_", Table1[[#This Row],[dm]])</f>
        <v>W_tas_7</v>
      </c>
      <c r="E77" s="1" t="str">
        <f t="shared" si="3"/>
        <v>CUSTOM</v>
      </c>
      <c r="F77" s="1" t="str">
        <f>_xlfn.CONCAT("TAS ", Table1[[#This Row],[dm]], " mean time to answer")</f>
        <v>TAS 7 mean time to answer</v>
      </c>
      <c r="G77" s="1" t="str">
        <f>_xlfn.CONCAT("Average time to complete a request in TAS ",Table1[[#This Row],[dm]])</f>
        <v>Average time to complete a request in TAS 7</v>
      </c>
      <c r="H77" s="1" t="b">
        <f t="shared" ref="H77:K77" si="108">H66</f>
        <v>1</v>
      </c>
      <c r="I77" s="1" t="str">
        <f t="shared" si="108"/>
        <v>OUT</v>
      </c>
      <c r="J77" s="1" t="str">
        <f t="shared" si="108"/>
        <v>T</v>
      </c>
      <c r="K77" s="1" t="str">
        <f t="shared" si="108"/>
        <v>s</v>
      </c>
      <c r="L77" s="1">
        <v>0</v>
      </c>
      <c r="M77" s="8">
        <v>1.5730049237219199E-3</v>
      </c>
      <c r="N77" s="8">
        <v>1.5730049237219199E-3</v>
      </c>
      <c r="O77" s="1" t="str">
        <f>Table1[[#This Row],[_units]]</f>
        <v>s</v>
      </c>
      <c r="P77" s="1">
        <f>Table1[[#This Row],[_min]]</f>
        <v>0</v>
      </c>
      <c r="Q77" s="1">
        <f>Table1[[#This Row],[_max]]</f>
        <v>1.5730049237219199E-3</v>
      </c>
      <c r="R77" s="1">
        <f>Table1[[#This Row],[_mean]]</f>
        <v>1.5730049237219199E-3</v>
      </c>
      <c r="S77" s="1" t="str">
        <f t="shared" si="5"/>
        <v>queue_time</v>
      </c>
      <c r="T77" s="1" t="str">
        <f t="shared" ref="T77" si="109">_xlfn.CONCAT("['", C71, "' , '", C75, "']")</f>
        <v>['\chi_{7}' , 'L_{7}']</v>
      </c>
      <c r="U77" s="1" t="str">
        <f t="shared" si="105"/>
        <v>{}</v>
      </c>
    </row>
    <row r="78" spans="1:21" x14ac:dyDescent="0.5">
      <c r="A78" s="1">
        <v>77</v>
      </c>
      <c r="B78" s="1">
        <f t="shared" ref="B78:B96" si="110">B67+1</f>
        <v>7</v>
      </c>
      <c r="C78" s="1" t="str">
        <f>_xlfn.CONCAT("Wq_{",Table1[[#This Row],[dm]], "}")</f>
        <v>Wq_{7}</v>
      </c>
      <c r="D78" s="1" t="str">
        <f>_xlfn.CONCAT("Wq_tas_", Table1[[#This Row],[dm]])</f>
        <v>Wq_tas_7</v>
      </c>
      <c r="E78" s="1" t="str">
        <f t="shared" ref="E78:E141" si="111">E67</f>
        <v>CUSTOM</v>
      </c>
      <c r="F78" s="1" t="str">
        <f>_xlfn.CONCAT("TAS ", Table1[[#This Row],[dm]], " mean time in buffer")</f>
        <v>TAS 7 mean time in buffer</v>
      </c>
      <c r="G78" s="1" t="str">
        <f>_xlfn.CONCAT("Average time for a request to transit the buffer in TAS ",Table1[[#This Row],[dm]])</f>
        <v>Average time for a request to transit the buffer in TAS 7</v>
      </c>
      <c r="H78" s="1" t="b">
        <f t="shared" ref="H78:K78" si="112">H67</f>
        <v>0</v>
      </c>
      <c r="I78" s="1" t="str">
        <f t="shared" si="112"/>
        <v>CTRL</v>
      </c>
      <c r="J78" s="1" t="str">
        <f t="shared" si="112"/>
        <v>T</v>
      </c>
      <c r="K78" s="1" t="str">
        <f t="shared" si="112"/>
        <v>s</v>
      </c>
      <c r="L78" s="1">
        <v>0</v>
      </c>
      <c r="M78" s="8">
        <v>1.44433495150492E-4</v>
      </c>
      <c r="N78" s="8">
        <v>1.44433495150492E-4</v>
      </c>
      <c r="O78" s="1" t="str">
        <f>Table1[[#This Row],[_units]]</f>
        <v>s</v>
      </c>
      <c r="P78" s="1">
        <f>Table1[[#This Row],[_min]]</f>
        <v>0</v>
      </c>
      <c r="Q78" s="1">
        <f>Table1[[#This Row],[_max]]</f>
        <v>1.44433495150492E-4</v>
      </c>
      <c r="R78" s="1">
        <f>Table1[[#This Row],[_mean]]</f>
        <v>1.44433495150492E-4</v>
      </c>
      <c r="S78" s="1" t="str">
        <f t="shared" ref="S78:S141" si="113">S67</f>
        <v>queue_time</v>
      </c>
      <c r="T78" s="1" t="str">
        <f t="shared" ref="T78" si="114">_xlfn.CONCAT("['", C71, "' , '", C76, "']")</f>
        <v>['\chi_{7}' , 'Lq_{7}']</v>
      </c>
      <c r="U78" s="1" t="str">
        <f t="shared" si="105"/>
        <v>{}</v>
      </c>
    </row>
    <row r="79" spans="1:21" x14ac:dyDescent="0.5">
      <c r="A79" s="1">
        <v>78</v>
      </c>
      <c r="B79" s="1">
        <f t="shared" si="110"/>
        <v>8</v>
      </c>
      <c r="C79" s="1" t="str">
        <f>_xlfn.CONCAT("\lambda_{", Table1[[#This Row],[dm]],"}")</f>
        <v>\lambda_{8}</v>
      </c>
      <c r="D79" s="1" t="str">
        <f>_xlfn.CONCAT("lambda_tas_", Table1[[#This Row],[dm]])</f>
        <v>lambda_tas_8</v>
      </c>
      <c r="E79" s="1" t="str">
        <f t="shared" si="111"/>
        <v>CUSTOM</v>
      </c>
      <c r="F79" s="1" t="str">
        <f>_xlfn.CONCAT("TAS ", Table1[[#This Row],[dm]], " arrival rate")</f>
        <v>TAS 8 arrival rate</v>
      </c>
      <c r="G79" s="1" t="str">
        <f>_xlfn.CONCAT("Arrival rate for TAS ",Table1[[#This Row],[dm]])</f>
        <v>Arrival rate for TAS 8</v>
      </c>
      <c r="H79" s="1" t="b">
        <f t="shared" ref="H79:K79" si="115">H68</f>
        <v>1</v>
      </c>
      <c r="I79" s="1" t="str">
        <f t="shared" si="115"/>
        <v>IN</v>
      </c>
      <c r="J79" s="1" t="str">
        <f t="shared" si="115"/>
        <v>E*T^-1</v>
      </c>
      <c r="K79" s="1" t="str">
        <f t="shared" si="115"/>
        <v>req/s</v>
      </c>
      <c r="L79" s="1">
        <f>0.1*59.5874296875</f>
        <v>5.9587429687500002</v>
      </c>
      <c r="M79" s="7">
        <f>1.9*59.5874296875</f>
        <v>113.21611640624999</v>
      </c>
      <c r="N79" s="8">
        <f>AVERAGE(Table1[[#This Row],[_min]:[_max]])</f>
        <v>59.587429687499998</v>
      </c>
      <c r="O79" s="1" t="str">
        <f>Table1[[#This Row],[_units]]</f>
        <v>req/s</v>
      </c>
      <c r="P79" s="1">
        <f>Table1[[#This Row],[_min]]</f>
        <v>5.9587429687500002</v>
      </c>
      <c r="Q79" s="1">
        <f>Table1[[#This Row],[_max]]</f>
        <v>113.21611640624999</v>
      </c>
      <c r="R79" s="1">
        <f>Table1[[#This Row],[_mean]]</f>
        <v>59.587429687499998</v>
      </c>
      <c r="S79" s="1" t="str">
        <f t="shared" si="113"/>
        <v>uniform</v>
      </c>
      <c r="T79" s="1" t="str">
        <f t="shared" si="0"/>
        <v>[]</v>
      </c>
      <c r="U79" s="1" t="str">
        <f>_xlfn.CONCAT("{'low': ", Table1[[#This Row],[_std_min]], ", 'high': ",Table1[[#This Row],[_std_max]],"}")</f>
        <v>{'low': 5.95874296875, 'high': 113.21611640625}</v>
      </c>
    </row>
    <row r="80" spans="1:21" x14ac:dyDescent="0.5">
      <c r="A80" s="1">
        <v>79</v>
      </c>
      <c r="B80" s="1">
        <f t="shared" si="110"/>
        <v>8</v>
      </c>
      <c r="C80" s="1" t="str">
        <f>_xlfn.CONCAT("\mu_{",Table1[[#This Row],[dm]], "}")</f>
        <v>\mu_{8}</v>
      </c>
      <c r="D80" s="1" t="str">
        <f>_xlfn.CONCAT("mu_tas_", Table1[[#This Row],[dm]])</f>
        <v>mu_tas_8</v>
      </c>
      <c r="E80" s="1" t="str">
        <f t="shared" si="111"/>
        <v>CUSTOM</v>
      </c>
      <c r="F80" s="1" t="str">
        <f>_xlfn.CONCAT("TAS ", Table1[[#This Row],[dm]], " service rate")</f>
        <v>TAS 8 service rate</v>
      </c>
      <c r="G80" s="1" t="str">
        <f>_xlfn.CONCAT("Service rate for TAS ",Table1[[#This Row],[dm]])</f>
        <v>Service rate for TAS 8</v>
      </c>
      <c r="H80" s="1" t="b">
        <f t="shared" ref="H80:K80" si="116">H69</f>
        <v>1</v>
      </c>
      <c r="I80" s="1" t="str">
        <f t="shared" si="116"/>
        <v>CTRL</v>
      </c>
      <c r="J80" s="1" t="str">
        <f t="shared" si="116"/>
        <v>E*T^-1</v>
      </c>
      <c r="K80" s="1" t="str">
        <f t="shared" si="116"/>
        <v>req/s</v>
      </c>
      <c r="L80" s="1">
        <f>0.1*410</f>
        <v>41</v>
      </c>
      <c r="M80" s="5">
        <f>1.9*410</f>
        <v>779</v>
      </c>
      <c r="N80" s="4">
        <f>AVERAGE(Table1[[#This Row],[_min]:[_max]])</f>
        <v>410</v>
      </c>
      <c r="O80" s="1" t="str">
        <f>Table1[[#This Row],[_units]]</f>
        <v>req/s</v>
      </c>
      <c r="P80" s="1">
        <f>Table1[[#This Row],[_min]]</f>
        <v>41</v>
      </c>
      <c r="Q80" s="1">
        <f>Table1[[#This Row],[_max]]</f>
        <v>779</v>
      </c>
      <c r="R80" s="1">
        <f>Table1[[#This Row],[_mean]]</f>
        <v>410</v>
      </c>
      <c r="S80" s="1" t="str">
        <f t="shared" si="113"/>
        <v>uniform</v>
      </c>
      <c r="T80" s="1" t="str">
        <f t="shared" si="0"/>
        <v>[]</v>
      </c>
      <c r="U80" s="1" t="str">
        <f>_xlfn.CONCAT("{'low': ", Table1[[#This Row],[_std_min]], ", 'high': ",Table1[[#This Row],[_std_max]],"}")</f>
        <v>{'low': 41, 'high': 779}</v>
      </c>
    </row>
    <row r="81" spans="1:21" x14ac:dyDescent="0.5">
      <c r="A81" s="1">
        <v>80</v>
      </c>
      <c r="B81" s="1">
        <f t="shared" si="110"/>
        <v>8</v>
      </c>
      <c r="C81" s="1" t="str">
        <f>_xlfn.CONCAT("err_{",Table1[[#This Row],[dm]], "}")</f>
        <v>err_{8}</v>
      </c>
      <c r="D81" s="1" t="str">
        <f>_xlfn.CONCAT("err_tas_", Table1[[#This Row],[dm]])</f>
        <v>err_tas_8</v>
      </c>
      <c r="E81" s="1" t="str">
        <f t="shared" si="111"/>
        <v>CUSTOM</v>
      </c>
      <c r="F81" s="1" t="str">
        <f>_xlfn.CONCAT("TAS ", Table1[[#This Row],[dm]], " error probability")</f>
        <v>TAS 8 error probability</v>
      </c>
      <c r="G81" s="1" t="str">
        <f>_xlfn.CONCAT("Service error probability for TAS ",Table1[[#This Row],[dm]])</f>
        <v>Service error probability for TAS 8</v>
      </c>
      <c r="H81" s="1" t="b">
        <f t="shared" ref="H81:K81" si="117">H70</f>
        <v>0</v>
      </c>
      <c r="I81" s="1" t="str">
        <f t="shared" si="117"/>
        <v>CTRL</v>
      </c>
      <c r="J81" s="1" t="str">
        <f t="shared" si="117"/>
        <v>E*T^-1</v>
      </c>
      <c r="K81" s="1" t="str">
        <f t="shared" si="117"/>
        <v>n.a.</v>
      </c>
      <c r="L81" s="3">
        <v>0.04</v>
      </c>
      <c r="M81" s="3">
        <v>0.04</v>
      </c>
      <c r="N81" s="3">
        <v>0.04</v>
      </c>
      <c r="O81" s="1" t="str">
        <f>Table1[[#This Row],[_units]]</f>
        <v>n.a.</v>
      </c>
      <c r="P81" s="1">
        <f>Table1[[#This Row],[_min]]</f>
        <v>0.04</v>
      </c>
      <c r="Q81" s="1">
        <f>Table1[[#This Row],[_max]]</f>
        <v>0.04</v>
      </c>
      <c r="R81" s="1">
        <f>Table1[[#This Row],[_mean]]</f>
        <v>0.04</v>
      </c>
      <c r="S81" s="1" t="str">
        <f t="shared" si="113"/>
        <v>adjusted_uniform</v>
      </c>
      <c r="T81" s="1" t="str">
        <f t="shared" si="0"/>
        <v>[]</v>
      </c>
      <c r="U81" s="1" t="str">
        <f>_xlfn.CONCAT("{'constant': ",Table1[[#This Row],[_std_max]],"}")</f>
        <v>{'constant': 0.04}</v>
      </c>
    </row>
    <row r="82" spans="1:21" x14ac:dyDescent="0.5">
      <c r="A82" s="1">
        <v>81</v>
      </c>
      <c r="B82" s="1">
        <f t="shared" si="110"/>
        <v>8</v>
      </c>
      <c r="C82" s="1" t="str">
        <f>_xlfn.CONCAT("\chi_{",Table1[[#This Row],[dm]], "}")</f>
        <v>\chi_{8}</v>
      </c>
      <c r="D82" s="1" t="str">
        <f>_xlfn.CONCAT("chi_tas_", Table1[[#This Row],[dm]])</f>
        <v>chi_tas_8</v>
      </c>
      <c r="E82" s="1" t="str">
        <f t="shared" si="111"/>
        <v>CUSTOM</v>
      </c>
      <c r="F82" s="1" t="str">
        <f>_xlfn.CONCAT("TAS ", Table1[[#This Row],[dm]], " departure rate")</f>
        <v>TAS 8 departure rate</v>
      </c>
      <c r="G82" s="1" t="str">
        <f>_xlfn.CONCAT("Departure rate for TAS ",Table1[[#This Row],[dm]])</f>
        <v>Departure rate for TAS 8</v>
      </c>
      <c r="H82" s="1" t="b">
        <f t="shared" ref="H82:K82" si="118">H71</f>
        <v>1</v>
      </c>
      <c r="I82" s="1" t="str">
        <f t="shared" si="118"/>
        <v>CTRL</v>
      </c>
      <c r="J82" s="1" t="str">
        <f t="shared" si="118"/>
        <v>E*T^-1</v>
      </c>
      <c r="K82" s="1" t="str">
        <f t="shared" si="118"/>
        <v>req/s</v>
      </c>
      <c r="L82" s="1">
        <f>0.1*59.5874296875</f>
        <v>5.9587429687500002</v>
      </c>
      <c r="M82" s="7">
        <f>1.9*59.5874296875</f>
        <v>113.21611640624999</v>
      </c>
      <c r="N82" s="6">
        <f>AVERAGE(Table1[[#This Row],[_min]:[_max]])</f>
        <v>59.587429687499998</v>
      </c>
      <c r="O82" s="1" t="str">
        <f>Table1[[#This Row],[_units]]</f>
        <v>req/s</v>
      </c>
      <c r="P82" s="1">
        <f>Table1[[#This Row],[_min]]</f>
        <v>5.9587429687500002</v>
      </c>
      <c r="Q82" s="1">
        <f>Table1[[#This Row],[_max]]</f>
        <v>113.21611640624999</v>
      </c>
      <c r="R82" s="1">
        <f>Table1[[#This Row],[_mean]]</f>
        <v>59.587429687499998</v>
      </c>
      <c r="S82" s="1" t="str">
        <f t="shared" si="113"/>
        <v>adjusted_rate</v>
      </c>
      <c r="T82" s="1" t="str">
        <f t="shared" ref="T82" si="119">_xlfn.CONCAT("['", C79, "' , '", C81, "']")</f>
        <v>['\lambda_{8}' , 'err_{8}']</v>
      </c>
      <c r="U82" s="1" t="str">
        <f t="shared" ref="U82" si="120">_xlfn.CONCAT("{", "}")</f>
        <v>{}</v>
      </c>
    </row>
    <row r="83" spans="1:21" x14ac:dyDescent="0.5">
      <c r="A83" s="1">
        <v>82</v>
      </c>
      <c r="B83" s="1">
        <f t="shared" si="110"/>
        <v>8</v>
      </c>
      <c r="C83" s="1" t="str">
        <f>_xlfn.CONCAT("c_{",Table1[[#This Row],[dm]], "}")</f>
        <v>c_{8}</v>
      </c>
      <c r="D83" s="1" t="str">
        <f>_xlfn.CONCAT("c_tas_", Table1[[#This Row],[dm]])</f>
        <v>c_tas_8</v>
      </c>
      <c r="E83" s="1" t="str">
        <f t="shared" si="111"/>
        <v>CUSTOM</v>
      </c>
      <c r="F83" s="1" t="str">
        <f>_xlfn.CONCAT("TAS ", Table1[[#This Row],[dm]], " resourses")</f>
        <v>TAS 8 resourses</v>
      </c>
      <c r="G83" s="1" t="str">
        <f>_xlfn.CONCAT("Number of resources allocated in TAS ",Table1[[#This Row],[dm]])</f>
        <v>Number of resources allocated in TAS 8</v>
      </c>
      <c r="H83" s="1" t="b">
        <f t="shared" ref="H83:K83" si="121">H72</f>
        <v>1</v>
      </c>
      <c r="I83" s="1" t="str">
        <f t="shared" si="121"/>
        <v>IN</v>
      </c>
      <c r="J83" s="1" t="str">
        <f t="shared" si="121"/>
        <v>E</v>
      </c>
      <c r="K83" s="1" t="str">
        <f t="shared" si="121"/>
        <v>req</v>
      </c>
      <c r="L83" s="1">
        <v>1</v>
      </c>
      <c r="M83" s="1">
        <f>Table1[[#This Row],[_min]]+1</f>
        <v>2</v>
      </c>
      <c r="N83" s="1">
        <f>AVERAGE(Table1[[#This Row],[_min]:[_max]])</f>
        <v>1.5</v>
      </c>
      <c r="O83" s="1" t="str">
        <f>Table1[[#This Row],[_units]]</f>
        <v>req</v>
      </c>
      <c r="P83" s="1">
        <f>Table1[[#This Row],[_min]]</f>
        <v>1</v>
      </c>
      <c r="Q83" s="1">
        <f>Table1[[#This Row],[_max]]</f>
        <v>2</v>
      </c>
      <c r="R83" s="1">
        <f>Table1[[#This Row],[_mean]]</f>
        <v>1.5</v>
      </c>
      <c r="S83" s="1" t="str">
        <f t="shared" si="113"/>
        <v>uniform_int</v>
      </c>
      <c r="T83" s="1" t="str">
        <f t="shared" si="0"/>
        <v>[]</v>
      </c>
      <c r="U83" s="1" t="str">
        <f>_xlfn.CONCAT("{'low': ", Table1[[#This Row],[_std_min]], ", 'high': ",Table1[[#This Row],[_std_max]],"}")</f>
        <v>{'low': 1, 'high': 2}</v>
      </c>
    </row>
    <row r="84" spans="1:21" x14ac:dyDescent="0.5">
      <c r="A84" s="1">
        <v>83</v>
      </c>
      <c r="B84" s="1">
        <f t="shared" si="110"/>
        <v>8</v>
      </c>
      <c r="C84" s="1" t="str">
        <f>_xlfn.CONCAT("K_{",Table1[[#This Row],[dm]],"}")</f>
        <v>K_{8}</v>
      </c>
      <c r="D84" s="1" t="str">
        <f>_xlfn.CONCAT("K_tas_", Table1[[#This Row],[dm]])</f>
        <v>K_tas_8</v>
      </c>
      <c r="E84" s="1" t="str">
        <f t="shared" si="111"/>
        <v>CUSTOM</v>
      </c>
      <c r="F84" s="1" t="str">
        <f>_xlfn.CONCAT("TAS ", Table1[[#This Row],[dm]], " q-capacity")</f>
        <v>TAS 8 q-capacity</v>
      </c>
      <c r="G84" s="1" t="str">
        <f>_xlfn.CONCAT("Allocated request capacity in TAS ",Table1[[#This Row],[dm]]," memory buffer")</f>
        <v>Allocated request capacity in TAS 8 memory buffer</v>
      </c>
      <c r="H84" s="1" t="b">
        <f t="shared" ref="H84:K84" si="122">H73</f>
        <v>1</v>
      </c>
      <c r="I84" s="1" t="str">
        <f t="shared" si="122"/>
        <v>CTRL</v>
      </c>
      <c r="J84" s="1" t="str">
        <f t="shared" si="122"/>
        <v>E</v>
      </c>
      <c r="K84" s="1" t="str">
        <f t="shared" si="122"/>
        <v>req</v>
      </c>
      <c r="L84" s="1">
        <v>1</v>
      </c>
      <c r="M84" s="1">
        <f>Table1[[#This Row],[_min]]+10</f>
        <v>11</v>
      </c>
      <c r="N84" s="1">
        <f>AVERAGE(Table1[[#This Row],[_min]:[_max]])</f>
        <v>6</v>
      </c>
      <c r="O84" s="1" t="str">
        <f>Table1[[#This Row],[_units]]</f>
        <v>req</v>
      </c>
      <c r="P84" s="1">
        <f>Table1[[#This Row],[_min]]</f>
        <v>1</v>
      </c>
      <c r="Q84" s="1">
        <f>Table1[[#This Row],[_max]]</f>
        <v>11</v>
      </c>
      <c r="R84" s="1">
        <f>Table1[[#This Row],[_mean]]</f>
        <v>6</v>
      </c>
      <c r="S84" s="1" t="str">
        <f t="shared" si="113"/>
        <v>shifted_uniform_int</v>
      </c>
      <c r="T84" s="1" t="str">
        <f t="shared" ref="T84" si="123">_xlfn.CONCAT("['", C83, "']")</f>
        <v>['c_{8}']</v>
      </c>
      <c r="U84" s="1" t="str">
        <f>_xlfn.CONCAT("{'low': ", Table1[[#This Row],[_std_min]], ", 'high': ",Table1[[#This Row],[_std_max]],"}")</f>
        <v>{'low': 1, 'high': 11}</v>
      </c>
    </row>
    <row r="85" spans="1:21" x14ac:dyDescent="0.5">
      <c r="A85" s="1">
        <v>84</v>
      </c>
      <c r="B85" s="1">
        <f t="shared" si="110"/>
        <v>8</v>
      </c>
      <c r="C85" s="1" t="str">
        <f>_xlfn.CONCAT("\delta_{", Table1[[#This Row],[dm]],"}")</f>
        <v>\delta_{8}</v>
      </c>
      <c r="D85" s="1" t="str">
        <f>_xlfn.CONCAT("delta_tas_", Table1[[#This Row],[dm]])</f>
        <v>delta_tas_8</v>
      </c>
      <c r="E85" s="1" t="str">
        <f t="shared" si="111"/>
        <v>CUSTOM</v>
      </c>
      <c r="F85" s="1" t="str">
        <f>_xlfn.CONCAT("TAS ", Table1[[#This Row],[dm]], " req data density")</f>
        <v>TAS 8 req data density</v>
      </c>
      <c r="G85" s="1" t="str">
        <f>_xlfn.CONCAT("Data density for request in TAS ", Table1[[#This Row],[dm]], " expected data per requests")</f>
        <v>Data density for request in TAS 8 expected data per requests</v>
      </c>
      <c r="H85" s="1" t="b">
        <f t="shared" ref="H85:K85" si="124">H74</f>
        <v>0</v>
      </c>
      <c r="I85" s="1" t="str">
        <f t="shared" si="124"/>
        <v>IN</v>
      </c>
      <c r="J85" s="1" t="str">
        <f t="shared" si="124"/>
        <v>D*E^-1</v>
      </c>
      <c r="K85" s="1" t="str">
        <f t="shared" si="124"/>
        <v>kB/req</v>
      </c>
      <c r="L85" s="1">
        <v>128</v>
      </c>
      <c r="M85" s="1">
        <f>2*1000</f>
        <v>2000</v>
      </c>
      <c r="N85" s="1">
        <f>AVERAGE(Table1[[#This Row],[_min]:[_max]])</f>
        <v>1064</v>
      </c>
      <c r="O85" s="1" t="s">
        <v>11</v>
      </c>
      <c r="P85" s="1">
        <f>Table1[[#This Row],[_min]]*1024000</f>
        <v>131072000</v>
      </c>
      <c r="Q85" s="1">
        <f>Table1[[#This Row],[_max]]*1024000</f>
        <v>2048000000</v>
      </c>
      <c r="R85" s="1">
        <f>Table1[[#This Row],[_mean]]*1024000</f>
        <v>1089536000</v>
      </c>
      <c r="S85" s="1" t="str">
        <f t="shared" si="113"/>
        <v>uniform</v>
      </c>
      <c r="T85" s="1" t="str">
        <f t="shared" si="0"/>
        <v>[]</v>
      </c>
      <c r="U85" s="1" t="str">
        <f>_xlfn.CONCAT("{'low': ", Table1[[#This Row],[_std_min]], ", 'high': ",Table1[[#This Row],[_std_max]],"}")</f>
        <v>{'low': 131072000, 'high': 2048000000}</v>
      </c>
    </row>
    <row r="86" spans="1:21" x14ac:dyDescent="0.5">
      <c r="A86" s="1">
        <v>85</v>
      </c>
      <c r="B86" s="1">
        <f t="shared" si="110"/>
        <v>8</v>
      </c>
      <c r="C86" s="1" t="str">
        <f>_xlfn.CONCAT("L_{",Table1[[#This Row],[dm]], "}")</f>
        <v>L_{8}</v>
      </c>
      <c r="D86" s="1" t="str">
        <f>_xlfn.CONCAT("L_tas_", Table1[[#This Row],[dm]])</f>
        <v>L_tas_8</v>
      </c>
      <c r="E86" s="1" t="str">
        <f t="shared" si="111"/>
        <v>CUSTOM</v>
      </c>
      <c r="F86" s="1" t="str">
        <f>_xlfn.CONCAT("TAS ", Table1[[#This Row],[dm]], " mean processing requests")</f>
        <v>TAS 8 mean processing requests</v>
      </c>
      <c r="G86" s="1" t="str">
        <f>_xlfn.CONCAT("Average number of request in TAS ",Table1[[#This Row],[dm]], " component")</f>
        <v>Average number of request in TAS 8 component</v>
      </c>
      <c r="H86" s="1" t="b">
        <f t="shared" ref="H86:K86" si="125">H75</f>
        <v>1</v>
      </c>
      <c r="I86" s="1" t="str">
        <f t="shared" si="125"/>
        <v>CTRL</v>
      </c>
      <c r="J86" s="1" t="str">
        <f t="shared" si="125"/>
        <v>E</v>
      </c>
      <c r="K86" s="1" t="str">
        <f t="shared" si="125"/>
        <v>req</v>
      </c>
      <c r="L86" s="1">
        <v>1</v>
      </c>
      <c r="M86" s="1">
        <f>Table1[[#This Row],[_min]]+10</f>
        <v>11</v>
      </c>
      <c r="N86" s="1">
        <f>AVERAGE(Table1[[#This Row],[_min]:[_max]])</f>
        <v>6</v>
      </c>
      <c r="O86" s="1" t="str">
        <f>Table1[[#This Row],[_units]]</f>
        <v>req</v>
      </c>
      <c r="P86" s="1">
        <f>Table1[[#This Row],[_min]]</f>
        <v>1</v>
      </c>
      <c r="Q86" s="1">
        <f>Table1[[#This Row],[_max]]</f>
        <v>11</v>
      </c>
      <c r="R86" s="1">
        <f>Table1[[#This Row],[_mean]]</f>
        <v>6</v>
      </c>
      <c r="S86" s="1" t="str">
        <f t="shared" si="113"/>
        <v>queue_length</v>
      </c>
      <c r="T86" s="1" t="str">
        <f t="shared" ref="T86" si="126">_xlfn.CONCAT("['", C79, "' , '", C80, "' , '", C83, "' , '", C84, "']")</f>
        <v>['\lambda_{8}' , '\mu_{8}' , 'c_{8}' , 'K_{8}']</v>
      </c>
      <c r="U86" s="1" t="str">
        <f t="shared" ref="U86:U89" si="127">_xlfn.CONCAT("{", "}")</f>
        <v>{}</v>
      </c>
    </row>
    <row r="87" spans="1:21" x14ac:dyDescent="0.5">
      <c r="A87" s="1">
        <v>86</v>
      </c>
      <c r="B87" s="1">
        <f t="shared" si="110"/>
        <v>8</v>
      </c>
      <c r="C87" s="1" t="str">
        <f>_xlfn.CONCAT("Lq_{",Table1[[#This Row],[dm]], "}")</f>
        <v>Lq_{8}</v>
      </c>
      <c r="D87" s="1" t="str">
        <f>_xlfn.CONCAT("Lq_tas_", Table1[[#This Row],[dm]])</f>
        <v>Lq_tas_8</v>
      </c>
      <c r="E87" s="1" t="str">
        <f t="shared" si="111"/>
        <v>CUSTOM</v>
      </c>
      <c r="F87" s="1" t="str">
        <f>_xlfn.CONCAT("TAS ", Table1[[#This Row],[dm]], " mean in memory requests")</f>
        <v>TAS 8 mean in memory requests</v>
      </c>
      <c r="G87" s="1" t="str">
        <f>_xlfn.CONCAT("Average number of request in TAS ",Table1[[#This Row],[dm]], " memory")</f>
        <v>Average number of request in TAS 8 memory</v>
      </c>
      <c r="H87" s="1" t="b">
        <f t="shared" ref="H87:K87" si="128">H76</f>
        <v>0</v>
      </c>
      <c r="I87" s="1" t="str">
        <f t="shared" si="128"/>
        <v>CTRL</v>
      </c>
      <c r="J87" s="1" t="str">
        <f t="shared" si="128"/>
        <v>E</v>
      </c>
      <c r="K87" s="1" t="str">
        <f t="shared" si="128"/>
        <v>req</v>
      </c>
      <c r="L87" s="1">
        <v>1</v>
      </c>
      <c r="M87" s="1">
        <f>Table1[[#This Row],[_min]]+10</f>
        <v>11</v>
      </c>
      <c r="N87" s="1">
        <f>AVERAGE(Table1[[#This Row],[_min]:[_max]])</f>
        <v>6</v>
      </c>
      <c r="O87" s="1" t="str">
        <f>Table1[[#This Row],[_units]]</f>
        <v>req</v>
      </c>
      <c r="P87" s="1">
        <f>Table1[[#This Row],[_min]]</f>
        <v>1</v>
      </c>
      <c r="Q87" s="1">
        <f>Table1[[#This Row],[_max]]</f>
        <v>11</v>
      </c>
      <c r="R87" s="1">
        <f>Table1[[#This Row],[_mean]]</f>
        <v>6</v>
      </c>
      <c r="S87" s="1" t="str">
        <f t="shared" si="113"/>
        <v>queue_length</v>
      </c>
      <c r="T87" s="1" t="str">
        <f t="shared" ref="T87" si="129">_xlfn.CONCAT("['", C79, "' , '", C80, "' , '", C83, "' , '", C84, "']")</f>
        <v>['\lambda_{8}' , '\mu_{8}' , 'c_{8}' , 'K_{8}']</v>
      </c>
      <c r="U87" s="1" t="str">
        <f t="shared" si="127"/>
        <v>{}</v>
      </c>
    </row>
    <row r="88" spans="1:21" x14ac:dyDescent="0.5">
      <c r="A88" s="1">
        <v>87</v>
      </c>
      <c r="B88" s="1">
        <f t="shared" si="110"/>
        <v>8</v>
      </c>
      <c r="C88" s="1" t="str">
        <f>_xlfn.CONCAT("W_{",Table1[[#This Row],[dm]], "}")</f>
        <v>W_{8}</v>
      </c>
      <c r="D88" s="1" t="str">
        <f>_xlfn.CONCAT("W_tas_", Table1[[#This Row],[dm]])</f>
        <v>W_tas_8</v>
      </c>
      <c r="E88" s="1" t="str">
        <f t="shared" si="111"/>
        <v>CUSTOM</v>
      </c>
      <c r="F88" s="1" t="str">
        <f>_xlfn.CONCAT("TAS ", Table1[[#This Row],[dm]], " mean time to answer")</f>
        <v>TAS 8 mean time to answer</v>
      </c>
      <c r="G88" s="1" t="str">
        <f>_xlfn.CONCAT("Average time to complete a request in TAS ",Table1[[#This Row],[dm]])</f>
        <v>Average time to complete a request in TAS 8</v>
      </c>
      <c r="H88" s="1" t="b">
        <f t="shared" ref="H88:K88" si="130">H77</f>
        <v>1</v>
      </c>
      <c r="I88" s="1" t="str">
        <f t="shared" si="130"/>
        <v>OUT</v>
      </c>
      <c r="J88" s="1" t="str">
        <f t="shared" si="130"/>
        <v>T</v>
      </c>
      <c r="K88" s="1" t="str">
        <f t="shared" si="130"/>
        <v>s</v>
      </c>
      <c r="L88" s="1">
        <v>0</v>
      </c>
      <c r="M88" s="1">
        <v>2.8537789015622098E-3</v>
      </c>
      <c r="N88" s="1">
        <v>2.8537789015622098E-3</v>
      </c>
      <c r="O88" s="1" t="str">
        <f>Table1[[#This Row],[_units]]</f>
        <v>s</v>
      </c>
      <c r="P88" s="1">
        <f>Table1[[#This Row],[_min]]</f>
        <v>0</v>
      </c>
      <c r="Q88" s="1">
        <f>Table1[[#This Row],[_max]]</f>
        <v>2.8537789015622098E-3</v>
      </c>
      <c r="R88" s="1">
        <f>Table1[[#This Row],[_mean]]</f>
        <v>2.8537789015622098E-3</v>
      </c>
      <c r="S88" s="1" t="str">
        <f t="shared" si="113"/>
        <v>queue_time</v>
      </c>
      <c r="T88" s="1" t="str">
        <f t="shared" ref="T88" si="131">_xlfn.CONCAT("['", C82, "' , '", C86, "']")</f>
        <v>['\chi_{8}' , 'L_{8}']</v>
      </c>
      <c r="U88" s="1" t="str">
        <f t="shared" si="127"/>
        <v>{}</v>
      </c>
    </row>
    <row r="89" spans="1:21" x14ac:dyDescent="0.5">
      <c r="A89" s="1">
        <v>88</v>
      </c>
      <c r="B89" s="1">
        <f t="shared" si="110"/>
        <v>8</v>
      </c>
      <c r="C89" s="1" t="str">
        <f>_xlfn.CONCAT("Wq_{",Table1[[#This Row],[dm]], "}")</f>
        <v>Wq_{8}</v>
      </c>
      <c r="D89" s="1" t="str">
        <f>_xlfn.CONCAT("Wq_tas_", Table1[[#This Row],[dm]])</f>
        <v>Wq_tas_8</v>
      </c>
      <c r="E89" s="1" t="str">
        <f t="shared" si="111"/>
        <v>CUSTOM</v>
      </c>
      <c r="F89" s="1" t="str">
        <f>_xlfn.CONCAT("TAS ", Table1[[#This Row],[dm]], " mean time in buffer")</f>
        <v>TAS 8 mean time in buffer</v>
      </c>
      <c r="G89" s="1" t="str">
        <f>_xlfn.CONCAT("Average time for a request to transit the buffer in TAS ",Table1[[#This Row],[dm]])</f>
        <v>Average time for a request to transit the buffer in TAS 8</v>
      </c>
      <c r="H89" s="1" t="b">
        <f t="shared" ref="H89:K89" si="132">H78</f>
        <v>0</v>
      </c>
      <c r="I89" s="1" t="str">
        <f t="shared" si="132"/>
        <v>CTRL</v>
      </c>
      <c r="J89" s="1" t="str">
        <f t="shared" si="132"/>
        <v>T</v>
      </c>
      <c r="K89" s="1" t="str">
        <f t="shared" si="132"/>
        <v>s</v>
      </c>
      <c r="L89" s="1">
        <v>0</v>
      </c>
      <c r="M89" s="1">
        <v>4.1475451131831699E-4</v>
      </c>
      <c r="N89" s="1">
        <v>4.1475451131831699E-4</v>
      </c>
      <c r="O89" s="1" t="str">
        <f>Table1[[#This Row],[_units]]</f>
        <v>s</v>
      </c>
      <c r="P89" s="1">
        <f>Table1[[#This Row],[_min]]</f>
        <v>0</v>
      </c>
      <c r="Q89" s="1">
        <f>Table1[[#This Row],[_max]]</f>
        <v>4.1475451131831699E-4</v>
      </c>
      <c r="R89" s="1">
        <f>Table1[[#This Row],[_mean]]</f>
        <v>4.1475451131831699E-4</v>
      </c>
      <c r="S89" s="1" t="str">
        <f t="shared" si="113"/>
        <v>queue_time</v>
      </c>
      <c r="T89" s="1" t="str">
        <f t="shared" ref="T89" si="133">_xlfn.CONCAT("['", C82, "' , '", C87, "']")</f>
        <v>['\chi_{8}' , 'Lq_{8}']</v>
      </c>
      <c r="U89" s="1" t="str">
        <f t="shared" si="127"/>
        <v>{}</v>
      </c>
    </row>
    <row r="90" spans="1:21" x14ac:dyDescent="0.5">
      <c r="A90" s="1">
        <v>89</v>
      </c>
      <c r="B90" s="1">
        <f t="shared" si="110"/>
        <v>9</v>
      </c>
      <c r="C90" s="1" t="str">
        <f>_xlfn.CONCAT("\lambda_{", Table1[[#This Row],[dm]],"}")</f>
        <v>\lambda_{9}</v>
      </c>
      <c r="D90" s="1" t="str">
        <f>_xlfn.CONCAT("lambda_tas_", Table1[[#This Row],[dm]])</f>
        <v>lambda_tas_9</v>
      </c>
      <c r="E90" s="1" t="str">
        <f t="shared" si="111"/>
        <v>CUSTOM</v>
      </c>
      <c r="F90" s="1" t="str">
        <f>_xlfn.CONCAT("TAS ", Table1[[#This Row],[dm]], " arrival rate")</f>
        <v>TAS 9 arrival rate</v>
      </c>
      <c r="G90" s="1" t="str">
        <f>_xlfn.CONCAT("Arrival rate for TAS ",Table1[[#This Row],[dm]])</f>
        <v>Arrival rate for TAS 9</v>
      </c>
      <c r="H90" s="1" t="b">
        <f t="shared" ref="H90:K90" si="134">H79</f>
        <v>1</v>
      </c>
      <c r="I90" s="1" t="str">
        <f t="shared" si="134"/>
        <v>IN</v>
      </c>
      <c r="J90" s="1" t="str">
        <f t="shared" si="134"/>
        <v>E*T^-1</v>
      </c>
      <c r="K90" s="1" t="str">
        <f t="shared" si="134"/>
        <v>req/s</v>
      </c>
      <c r="L90" s="1">
        <f>0.1*38.7166666666666</f>
        <v>3.8716666666666599</v>
      </c>
      <c r="M90" s="7">
        <f>1.9*69.7608932926829</f>
        <v>132.5456972560975</v>
      </c>
      <c r="N90" s="8">
        <f>AVERAGE(Table1[[#This Row],[_min]:[_max]])</f>
        <v>68.208681961382084</v>
      </c>
      <c r="O90" s="1" t="str">
        <f>Table1[[#This Row],[_units]]</f>
        <v>req/s</v>
      </c>
      <c r="P90" s="1">
        <f>Table1[[#This Row],[_min]]</f>
        <v>3.8716666666666599</v>
      </c>
      <c r="Q90" s="1">
        <f>Table1[[#This Row],[_max]]</f>
        <v>132.5456972560975</v>
      </c>
      <c r="R90" s="1">
        <f>Table1[[#This Row],[_mean]]</f>
        <v>68.208681961382084</v>
      </c>
      <c r="S90" s="1" t="str">
        <f t="shared" si="113"/>
        <v>uniform</v>
      </c>
      <c r="T90" s="1" t="str">
        <f t="shared" si="0"/>
        <v>[]</v>
      </c>
      <c r="U90" s="1" t="str">
        <f>_xlfn.CONCAT("{'low': ", Table1[[#This Row],[_std_min]], ", 'high': ",Table1[[#This Row],[_std_max]],"}")</f>
        <v>{'low': 3.87166666666666, 'high': 132.545697256097}</v>
      </c>
    </row>
    <row r="91" spans="1:21" x14ac:dyDescent="0.5">
      <c r="A91" s="1">
        <v>90</v>
      </c>
      <c r="B91" s="1">
        <f t="shared" si="110"/>
        <v>9</v>
      </c>
      <c r="C91" s="1" t="str">
        <f>_xlfn.CONCAT("\mu_{",Table1[[#This Row],[dm]], "}")</f>
        <v>\mu_{9}</v>
      </c>
      <c r="D91" s="1" t="str">
        <f>_xlfn.CONCAT("mu_tas_", Table1[[#This Row],[dm]])</f>
        <v>mu_tas_9</v>
      </c>
      <c r="E91" s="1" t="str">
        <f t="shared" si="111"/>
        <v>CUSTOM</v>
      </c>
      <c r="F91" s="1" t="str">
        <f>_xlfn.CONCAT("TAS ", Table1[[#This Row],[dm]], " service rate")</f>
        <v>TAS 9 service rate</v>
      </c>
      <c r="G91" s="1" t="str">
        <f>_xlfn.CONCAT("Service rate for TAS ",Table1[[#This Row],[dm]])</f>
        <v>Service rate for TAS 9</v>
      </c>
      <c r="H91" s="1" t="b">
        <f t="shared" ref="H91:K91" si="135">H80</f>
        <v>1</v>
      </c>
      <c r="I91" s="1" t="str">
        <f t="shared" si="135"/>
        <v>CTRL</v>
      </c>
      <c r="J91" s="1" t="str">
        <f t="shared" si="135"/>
        <v>E*T^-1</v>
      </c>
      <c r="K91" s="1" t="str">
        <f t="shared" si="135"/>
        <v>req/s</v>
      </c>
      <c r="L91" s="1">
        <f>0.1*1580</f>
        <v>158</v>
      </c>
      <c r="M91" s="5">
        <f>1.9*1580</f>
        <v>3002</v>
      </c>
      <c r="N91" s="4">
        <f>AVERAGE(Table1[[#This Row],[_min]:[_max]])</f>
        <v>1580</v>
      </c>
      <c r="O91" s="1" t="str">
        <f>Table1[[#This Row],[_units]]</f>
        <v>req/s</v>
      </c>
      <c r="P91" s="1">
        <f>Table1[[#This Row],[_min]]</f>
        <v>158</v>
      </c>
      <c r="Q91" s="1">
        <f>Table1[[#This Row],[_max]]</f>
        <v>3002</v>
      </c>
      <c r="R91" s="1">
        <f>Table1[[#This Row],[_mean]]</f>
        <v>1580</v>
      </c>
      <c r="S91" s="1" t="str">
        <f t="shared" si="113"/>
        <v>uniform</v>
      </c>
      <c r="T91" s="1" t="str">
        <f t="shared" si="0"/>
        <v>[]</v>
      </c>
      <c r="U91" s="1" t="str">
        <f>_xlfn.CONCAT("{'low': ", Table1[[#This Row],[_std_min]], ", 'high': ",Table1[[#This Row],[_std_max]],"}")</f>
        <v>{'low': 158, 'high': 3002}</v>
      </c>
    </row>
    <row r="92" spans="1:21" x14ac:dyDescent="0.5">
      <c r="A92" s="1">
        <v>91</v>
      </c>
      <c r="B92" s="1">
        <f t="shared" si="110"/>
        <v>9</v>
      </c>
      <c r="C92" s="1" t="str">
        <f>_xlfn.CONCAT("err_{",Table1[[#This Row],[dm]], "}")</f>
        <v>err_{9}</v>
      </c>
      <c r="D92" s="1" t="str">
        <f>_xlfn.CONCAT("err_tas_", Table1[[#This Row],[dm]])</f>
        <v>err_tas_9</v>
      </c>
      <c r="E92" s="1" t="str">
        <f t="shared" si="111"/>
        <v>CUSTOM</v>
      </c>
      <c r="F92" s="1" t="str">
        <f>_xlfn.CONCAT("TAS ", Table1[[#This Row],[dm]], " error probability")</f>
        <v>TAS 9 error probability</v>
      </c>
      <c r="G92" s="1" t="str">
        <f>_xlfn.CONCAT("Service error probability for TAS ",Table1[[#This Row],[dm]])</f>
        <v>Service error probability for TAS 9</v>
      </c>
      <c r="H92" s="1" t="b">
        <f t="shared" ref="H92:K92" si="136">H81</f>
        <v>0</v>
      </c>
      <c r="I92" s="1" t="str">
        <f t="shared" si="136"/>
        <v>CTRL</v>
      </c>
      <c r="J92" s="1" t="str">
        <f t="shared" si="136"/>
        <v>E*T^-1</v>
      </c>
      <c r="K92" s="1" t="str">
        <f t="shared" si="136"/>
        <v>n.a.</v>
      </c>
      <c r="L92" s="3">
        <v>0.1</v>
      </c>
      <c r="M92" s="3">
        <v>0.1</v>
      </c>
      <c r="N92" s="3">
        <v>0.1</v>
      </c>
      <c r="O92" s="1" t="str">
        <f>Table1[[#This Row],[_units]]</f>
        <v>n.a.</v>
      </c>
      <c r="P92" s="1">
        <f>Table1[[#This Row],[_min]]</f>
        <v>0.1</v>
      </c>
      <c r="Q92" s="1">
        <f>Table1[[#This Row],[_max]]</f>
        <v>0.1</v>
      </c>
      <c r="R92" s="1">
        <f>Table1[[#This Row],[_mean]]</f>
        <v>0.1</v>
      </c>
      <c r="S92" s="1" t="str">
        <f t="shared" si="113"/>
        <v>adjusted_uniform</v>
      </c>
      <c r="T92" s="1" t="str">
        <f t="shared" si="0"/>
        <v>[]</v>
      </c>
      <c r="U92" s="1" t="str">
        <f>_xlfn.CONCAT("{'constant': ",Table1[[#This Row],[_std_max]],"}")</f>
        <v>{'constant': 0.1}</v>
      </c>
    </row>
    <row r="93" spans="1:21" x14ac:dyDescent="0.5">
      <c r="A93" s="1">
        <v>92</v>
      </c>
      <c r="B93" s="1">
        <f t="shared" si="110"/>
        <v>9</v>
      </c>
      <c r="C93" s="1" t="str">
        <f>_xlfn.CONCAT("\chi_{",Table1[[#This Row],[dm]], "}")</f>
        <v>\chi_{9}</v>
      </c>
      <c r="D93" s="1" t="str">
        <f>_xlfn.CONCAT("chi_tas_", Table1[[#This Row],[dm]])</f>
        <v>chi_tas_9</v>
      </c>
      <c r="E93" s="1" t="str">
        <f t="shared" si="111"/>
        <v>CUSTOM</v>
      </c>
      <c r="F93" s="1" t="str">
        <f>_xlfn.CONCAT("TAS ", Table1[[#This Row],[dm]], " departure rate")</f>
        <v>TAS 9 departure rate</v>
      </c>
      <c r="G93" s="1" t="str">
        <f>_xlfn.CONCAT("Departure rate for TAS ",Table1[[#This Row],[dm]])</f>
        <v>Departure rate for TAS 9</v>
      </c>
      <c r="H93" s="1" t="b">
        <f t="shared" ref="H93:K93" si="137">H82</f>
        <v>1</v>
      </c>
      <c r="I93" s="1" t="str">
        <f t="shared" si="137"/>
        <v>CTRL</v>
      </c>
      <c r="J93" s="1" t="str">
        <f t="shared" si="137"/>
        <v>E*T^-1</v>
      </c>
      <c r="K93" s="1" t="str">
        <f t="shared" si="137"/>
        <v>req/s</v>
      </c>
      <c r="L93" s="1">
        <f>0.1*38.7166666666666</f>
        <v>3.8716666666666599</v>
      </c>
      <c r="M93" s="7">
        <f>1.9*69.7608932926829</f>
        <v>132.5456972560975</v>
      </c>
      <c r="N93" s="6">
        <f>AVERAGE(Table1[[#This Row],[_min]:[_max]])</f>
        <v>68.208681961382084</v>
      </c>
      <c r="O93" s="1" t="str">
        <f>Table1[[#This Row],[_units]]</f>
        <v>req/s</v>
      </c>
      <c r="P93" s="1">
        <f>Table1[[#This Row],[_min]]</f>
        <v>3.8716666666666599</v>
      </c>
      <c r="Q93" s="1">
        <f>Table1[[#This Row],[_max]]</f>
        <v>132.5456972560975</v>
      </c>
      <c r="R93" s="1">
        <f>Table1[[#This Row],[_mean]]</f>
        <v>68.208681961382084</v>
      </c>
      <c r="S93" s="1" t="str">
        <f t="shared" si="113"/>
        <v>adjusted_rate</v>
      </c>
      <c r="T93" s="1" t="str">
        <f t="shared" ref="T93" si="138">_xlfn.CONCAT("['", C90, "' , '", C92, "']")</f>
        <v>['\lambda_{9}' , 'err_{9}']</v>
      </c>
      <c r="U93" s="1" t="str">
        <f t="shared" ref="U93" si="139">_xlfn.CONCAT("{", "}")</f>
        <v>{}</v>
      </c>
    </row>
    <row r="94" spans="1:21" x14ac:dyDescent="0.5">
      <c r="A94" s="1">
        <v>93</v>
      </c>
      <c r="B94" s="1">
        <f t="shared" si="110"/>
        <v>9</v>
      </c>
      <c r="C94" s="1" t="str">
        <f>_xlfn.CONCAT("c_{",Table1[[#This Row],[dm]], "}")</f>
        <v>c_{9}</v>
      </c>
      <c r="D94" s="1" t="str">
        <f>_xlfn.CONCAT("c_tas_", Table1[[#This Row],[dm]])</f>
        <v>c_tas_9</v>
      </c>
      <c r="E94" s="1" t="str">
        <f t="shared" si="111"/>
        <v>CUSTOM</v>
      </c>
      <c r="F94" s="1" t="str">
        <f>_xlfn.CONCAT("TAS ", Table1[[#This Row],[dm]], " resourses")</f>
        <v>TAS 9 resourses</v>
      </c>
      <c r="G94" s="1" t="str">
        <f>_xlfn.CONCAT("Number of resources allocated in TAS ",Table1[[#This Row],[dm]])</f>
        <v>Number of resources allocated in TAS 9</v>
      </c>
      <c r="H94" s="1" t="b">
        <f t="shared" ref="H94:K94" si="140">H83</f>
        <v>1</v>
      </c>
      <c r="I94" s="1" t="str">
        <f t="shared" si="140"/>
        <v>IN</v>
      </c>
      <c r="J94" s="1" t="str">
        <f t="shared" si="140"/>
        <v>E</v>
      </c>
      <c r="K94" s="1" t="str">
        <f t="shared" si="140"/>
        <v>req</v>
      </c>
      <c r="L94" s="1">
        <v>1</v>
      </c>
      <c r="M94" s="1">
        <f>Table1[[#This Row],[_min]]+2</f>
        <v>3</v>
      </c>
      <c r="N94" s="1">
        <f>AVERAGE(Table1[[#This Row],[_min]:[_max]])</f>
        <v>2</v>
      </c>
      <c r="O94" s="1" t="str">
        <f>Table1[[#This Row],[_units]]</f>
        <v>req</v>
      </c>
      <c r="P94" s="1">
        <f>Table1[[#This Row],[_min]]</f>
        <v>1</v>
      </c>
      <c r="Q94" s="1">
        <f>Table1[[#This Row],[_max]]</f>
        <v>3</v>
      </c>
      <c r="R94" s="1">
        <f>Table1[[#This Row],[_mean]]</f>
        <v>2</v>
      </c>
      <c r="S94" s="1" t="str">
        <f t="shared" si="113"/>
        <v>uniform_int</v>
      </c>
      <c r="T94" s="1" t="str">
        <f t="shared" si="0"/>
        <v>[]</v>
      </c>
      <c r="U94" s="1" t="str">
        <f>_xlfn.CONCAT("{'low': ", Table1[[#This Row],[_std_min]], ", 'high': ",Table1[[#This Row],[_std_max]],"}")</f>
        <v>{'low': 1, 'high': 3}</v>
      </c>
    </row>
    <row r="95" spans="1:21" x14ac:dyDescent="0.5">
      <c r="A95" s="1">
        <v>94</v>
      </c>
      <c r="B95" s="1">
        <f t="shared" si="110"/>
        <v>9</v>
      </c>
      <c r="C95" s="1" t="str">
        <f>_xlfn.CONCAT("K_{",Table1[[#This Row],[dm]],"}")</f>
        <v>K_{9}</v>
      </c>
      <c r="D95" s="1" t="str">
        <f>_xlfn.CONCAT("K_tas_", Table1[[#This Row],[dm]])</f>
        <v>K_tas_9</v>
      </c>
      <c r="E95" s="1" t="str">
        <f t="shared" si="111"/>
        <v>CUSTOM</v>
      </c>
      <c r="F95" s="1" t="str">
        <f>_xlfn.CONCAT("TAS ", Table1[[#This Row],[dm]], " q-capacity")</f>
        <v>TAS 9 q-capacity</v>
      </c>
      <c r="G95" s="1" t="str">
        <f>_xlfn.CONCAT("Allocated request capacity in TAS ",Table1[[#This Row],[dm]]," memory buffer")</f>
        <v>Allocated request capacity in TAS 9 memory buffer</v>
      </c>
      <c r="H95" s="1" t="b">
        <f t="shared" ref="H95:K95" si="141">H84</f>
        <v>1</v>
      </c>
      <c r="I95" s="1" t="str">
        <f t="shared" si="141"/>
        <v>CTRL</v>
      </c>
      <c r="J95" s="1" t="str">
        <f t="shared" si="141"/>
        <v>E</v>
      </c>
      <c r="K95" s="1" t="str">
        <f t="shared" si="141"/>
        <v>req</v>
      </c>
      <c r="L95" s="1">
        <v>1</v>
      </c>
      <c r="M95" s="1">
        <f>Table1[[#This Row],[_min]]+10</f>
        <v>11</v>
      </c>
      <c r="N95" s="1">
        <f>AVERAGE(Table1[[#This Row],[_min]:[_max]])</f>
        <v>6</v>
      </c>
      <c r="O95" s="1" t="str">
        <f>Table1[[#This Row],[_units]]</f>
        <v>req</v>
      </c>
      <c r="P95" s="1">
        <f>Table1[[#This Row],[_min]]</f>
        <v>1</v>
      </c>
      <c r="Q95" s="1">
        <f>Table1[[#This Row],[_max]]</f>
        <v>11</v>
      </c>
      <c r="R95" s="1">
        <f>Table1[[#This Row],[_mean]]</f>
        <v>6</v>
      </c>
      <c r="S95" s="1" t="str">
        <f t="shared" si="113"/>
        <v>shifted_uniform_int</v>
      </c>
      <c r="T95" s="1" t="str">
        <f t="shared" ref="T95" si="142">_xlfn.CONCAT("['", C94, "']")</f>
        <v>['c_{9}']</v>
      </c>
      <c r="U95" s="1" t="str">
        <f>_xlfn.CONCAT("{'low': ", Table1[[#This Row],[_std_min]], ", 'high': ",Table1[[#This Row],[_std_max]],"}")</f>
        <v>{'low': 1, 'high': 11}</v>
      </c>
    </row>
    <row r="96" spans="1:21" x14ac:dyDescent="0.5">
      <c r="A96" s="1">
        <v>95</v>
      </c>
      <c r="B96" s="1">
        <f t="shared" si="110"/>
        <v>9</v>
      </c>
      <c r="C96" s="1" t="str">
        <f>_xlfn.CONCAT("\delta_{", Table1[[#This Row],[dm]],"}")</f>
        <v>\delta_{9}</v>
      </c>
      <c r="D96" s="1" t="str">
        <f>_xlfn.CONCAT("delta_tas_", Table1[[#This Row],[dm]])</f>
        <v>delta_tas_9</v>
      </c>
      <c r="E96" s="1" t="str">
        <f t="shared" si="111"/>
        <v>CUSTOM</v>
      </c>
      <c r="F96" s="1" t="str">
        <f>_xlfn.CONCAT("TAS ", Table1[[#This Row],[dm]], " req data density")</f>
        <v>TAS 9 req data density</v>
      </c>
      <c r="G96" s="1" t="str">
        <f>_xlfn.CONCAT("Data density for request in TAS ", Table1[[#This Row],[dm]], " expected data per requests")</f>
        <v>Data density for request in TAS 9 expected data per requests</v>
      </c>
      <c r="H96" s="1" t="b">
        <f t="shared" ref="H96:K96" si="143">H85</f>
        <v>0</v>
      </c>
      <c r="I96" s="1" t="str">
        <f t="shared" si="143"/>
        <v>IN</v>
      </c>
      <c r="J96" s="1" t="str">
        <f t="shared" si="143"/>
        <v>D*E^-1</v>
      </c>
      <c r="K96" s="1" t="str">
        <f t="shared" si="143"/>
        <v>kB/req</v>
      </c>
      <c r="L96" s="1">
        <v>128</v>
      </c>
      <c r="M96" s="1">
        <f>2*1000</f>
        <v>2000</v>
      </c>
      <c r="N96" s="1">
        <f>AVERAGE(Table1[[#This Row],[_min]:[_max]])</f>
        <v>1064</v>
      </c>
      <c r="O96" s="1" t="s">
        <v>11</v>
      </c>
      <c r="P96" s="1">
        <f>Table1[[#This Row],[_min]]*1024000</f>
        <v>131072000</v>
      </c>
      <c r="Q96" s="1">
        <f>Table1[[#This Row],[_max]]*1024000</f>
        <v>2048000000</v>
      </c>
      <c r="R96" s="1">
        <f>Table1[[#This Row],[_mean]]*1024000</f>
        <v>1089536000</v>
      </c>
      <c r="S96" s="1" t="str">
        <f t="shared" si="113"/>
        <v>uniform</v>
      </c>
      <c r="T96" s="1" t="str">
        <f t="shared" si="0"/>
        <v>[]</v>
      </c>
      <c r="U96" s="1" t="str">
        <f>_xlfn.CONCAT("{'low': ", Table1[[#This Row],[_std_min]], ", 'high': ",Table1[[#This Row],[_std_max]],"}")</f>
        <v>{'low': 131072000, 'high': 2048000000}</v>
      </c>
    </row>
    <row r="97" spans="1:21" x14ac:dyDescent="0.5">
      <c r="A97" s="1">
        <v>96</v>
      </c>
      <c r="B97" s="1">
        <f>B86+1</f>
        <v>9</v>
      </c>
      <c r="C97" s="1" t="str">
        <f>_xlfn.CONCAT("L_{",Table1[[#This Row],[dm]], "}")</f>
        <v>L_{9}</v>
      </c>
      <c r="D97" s="1" t="str">
        <f>_xlfn.CONCAT("L_tas_", Table1[[#This Row],[dm]])</f>
        <v>L_tas_9</v>
      </c>
      <c r="E97" s="1" t="str">
        <f t="shared" si="111"/>
        <v>CUSTOM</v>
      </c>
      <c r="F97" s="1" t="str">
        <f>_xlfn.CONCAT("TAS ", Table1[[#This Row],[dm]], " mean processing requests")</f>
        <v>TAS 9 mean processing requests</v>
      </c>
      <c r="G97" s="1" t="str">
        <f>_xlfn.CONCAT("Average number of request in TAS ",Table1[[#This Row],[dm]], " component")</f>
        <v>Average number of request in TAS 9 component</v>
      </c>
      <c r="H97" s="1" t="b">
        <f t="shared" ref="H97:K97" si="144">H86</f>
        <v>1</v>
      </c>
      <c r="I97" s="1" t="str">
        <f t="shared" si="144"/>
        <v>CTRL</v>
      </c>
      <c r="J97" s="1" t="str">
        <f t="shared" si="144"/>
        <v>E</v>
      </c>
      <c r="K97" s="1" t="str">
        <f t="shared" si="144"/>
        <v>req</v>
      </c>
      <c r="L97" s="1">
        <v>1</v>
      </c>
      <c r="M97" s="1">
        <f>Table1[[#This Row],[_min]]+10</f>
        <v>11</v>
      </c>
      <c r="N97" s="1">
        <f>AVERAGE(Table1[[#This Row],[_min]:[_max]])</f>
        <v>6</v>
      </c>
      <c r="O97" s="1" t="str">
        <f>Table1[[#This Row],[_units]]</f>
        <v>req</v>
      </c>
      <c r="P97" s="1">
        <f>Table1[[#This Row],[_min]]</f>
        <v>1</v>
      </c>
      <c r="Q97" s="1">
        <f>Table1[[#This Row],[_max]]</f>
        <v>11</v>
      </c>
      <c r="R97" s="1">
        <f>Table1[[#This Row],[_mean]]</f>
        <v>6</v>
      </c>
      <c r="S97" s="1" t="str">
        <f t="shared" si="113"/>
        <v>queue_length</v>
      </c>
      <c r="T97" s="1" t="str">
        <f t="shared" ref="T97" si="145">_xlfn.CONCAT("['", C90, "' , '", C91, "' , '", C94, "' , '", C95, "']")</f>
        <v>['\lambda_{9}' , '\mu_{9}' , 'c_{9}' , 'K_{9}']</v>
      </c>
      <c r="U97" s="1" t="str">
        <f t="shared" ref="U97:U100" si="146">_xlfn.CONCAT("{", "}")</f>
        <v>{}</v>
      </c>
    </row>
    <row r="98" spans="1:21" x14ac:dyDescent="0.5">
      <c r="A98" s="1">
        <v>97</v>
      </c>
      <c r="B98" s="1">
        <f t="shared" ref="B98:B115" si="147">B87+1</f>
        <v>9</v>
      </c>
      <c r="C98" s="1" t="str">
        <f>_xlfn.CONCAT("Lq_{",Table1[[#This Row],[dm]], "}")</f>
        <v>Lq_{9}</v>
      </c>
      <c r="D98" s="1" t="str">
        <f>_xlfn.CONCAT("Lq_tas_", Table1[[#This Row],[dm]])</f>
        <v>Lq_tas_9</v>
      </c>
      <c r="E98" s="1" t="str">
        <f t="shared" si="111"/>
        <v>CUSTOM</v>
      </c>
      <c r="F98" s="1" t="str">
        <f>_xlfn.CONCAT("TAS ", Table1[[#This Row],[dm]], " mean in memory requests")</f>
        <v>TAS 9 mean in memory requests</v>
      </c>
      <c r="G98" s="1" t="str">
        <f>_xlfn.CONCAT("Average number of request in TAS ",Table1[[#This Row],[dm]], " memory")</f>
        <v>Average number of request in TAS 9 memory</v>
      </c>
      <c r="H98" s="1" t="b">
        <f t="shared" ref="H98:K98" si="148">H87</f>
        <v>0</v>
      </c>
      <c r="I98" s="1" t="str">
        <f t="shared" si="148"/>
        <v>CTRL</v>
      </c>
      <c r="J98" s="1" t="str">
        <f t="shared" si="148"/>
        <v>E</v>
      </c>
      <c r="K98" s="1" t="str">
        <f t="shared" si="148"/>
        <v>req</v>
      </c>
      <c r="L98" s="1">
        <v>1</v>
      </c>
      <c r="M98" s="1">
        <f>Table1[[#This Row],[_min]]+10</f>
        <v>11</v>
      </c>
      <c r="N98" s="1">
        <f>AVERAGE(Table1[[#This Row],[_min]:[_max]])</f>
        <v>6</v>
      </c>
      <c r="O98" s="1" t="str">
        <f>Table1[[#This Row],[_units]]</f>
        <v>req</v>
      </c>
      <c r="P98" s="1">
        <f>Table1[[#This Row],[_min]]</f>
        <v>1</v>
      </c>
      <c r="Q98" s="1">
        <f>Table1[[#This Row],[_max]]</f>
        <v>11</v>
      </c>
      <c r="R98" s="1">
        <f>Table1[[#This Row],[_mean]]</f>
        <v>6</v>
      </c>
      <c r="S98" s="1" t="str">
        <f t="shared" si="113"/>
        <v>queue_length</v>
      </c>
      <c r="T98" s="1" t="str">
        <f t="shared" ref="T98" si="149">_xlfn.CONCAT("['", C90, "' , '", C91, "' , '", C94, "' , '", C95, "']")</f>
        <v>['\lambda_{9}' , '\mu_{9}' , 'c_{9}' , 'K_{9}']</v>
      </c>
      <c r="U98" s="1" t="str">
        <f t="shared" si="146"/>
        <v>{}</v>
      </c>
    </row>
    <row r="99" spans="1:21" x14ac:dyDescent="0.5">
      <c r="A99" s="1">
        <v>98</v>
      </c>
      <c r="B99" s="1">
        <f t="shared" si="147"/>
        <v>9</v>
      </c>
      <c r="C99" s="1" t="str">
        <f>_xlfn.CONCAT("W_{",Table1[[#This Row],[dm]], "}")</f>
        <v>W_{9}</v>
      </c>
      <c r="D99" s="1" t="str">
        <f>_xlfn.CONCAT("W_tas_", Table1[[#This Row],[dm]])</f>
        <v>W_tas_9</v>
      </c>
      <c r="E99" s="1" t="str">
        <f t="shared" si="111"/>
        <v>CUSTOM</v>
      </c>
      <c r="F99" s="1" t="str">
        <f>_xlfn.CONCAT("TAS ", Table1[[#This Row],[dm]], " mean time to answer")</f>
        <v>TAS 9 mean time to answer</v>
      </c>
      <c r="G99" s="1" t="str">
        <f>_xlfn.CONCAT("Average time to complete a request in TAS ",Table1[[#This Row],[dm]])</f>
        <v>Average time to complete a request in TAS 9</v>
      </c>
      <c r="H99" s="1" t="b">
        <f t="shared" ref="H99:K99" si="150">H88</f>
        <v>1</v>
      </c>
      <c r="I99" s="1" t="str">
        <f t="shared" si="150"/>
        <v>OUT</v>
      </c>
      <c r="J99" s="1" t="str">
        <f t="shared" si="150"/>
        <v>T</v>
      </c>
      <c r="K99" s="1" t="str">
        <f t="shared" si="150"/>
        <v>s</v>
      </c>
      <c r="L99" s="1">
        <v>0</v>
      </c>
      <c r="M99" s="8">
        <v>6.6214680546859803E-4</v>
      </c>
      <c r="N99" s="8">
        <v>6.6214680546859803E-4</v>
      </c>
      <c r="O99" s="1" t="str">
        <f>Table1[[#This Row],[_units]]</f>
        <v>s</v>
      </c>
      <c r="P99" s="1">
        <f>Table1[[#This Row],[_min]]</f>
        <v>0</v>
      </c>
      <c r="Q99" s="1">
        <f>Table1[[#This Row],[_max]]</f>
        <v>6.6214680546859803E-4</v>
      </c>
      <c r="R99" s="1">
        <f>Table1[[#This Row],[_mean]]</f>
        <v>6.6214680546859803E-4</v>
      </c>
      <c r="S99" s="1" t="str">
        <f t="shared" si="113"/>
        <v>queue_time</v>
      </c>
      <c r="T99" s="1" t="str">
        <f t="shared" ref="T99" si="151">_xlfn.CONCAT("['", C93, "' , '", C97, "']")</f>
        <v>['\chi_{9}' , 'L_{9}']</v>
      </c>
      <c r="U99" s="1" t="str">
        <f t="shared" si="146"/>
        <v>{}</v>
      </c>
    </row>
    <row r="100" spans="1:21" x14ac:dyDescent="0.5">
      <c r="A100" s="1">
        <v>99</v>
      </c>
      <c r="B100" s="1">
        <f t="shared" si="147"/>
        <v>9</v>
      </c>
      <c r="C100" s="1" t="str">
        <f>_xlfn.CONCAT("Wq_{",Table1[[#This Row],[dm]], "}")</f>
        <v>Wq_{9}</v>
      </c>
      <c r="D100" s="1" t="str">
        <f>_xlfn.CONCAT("Wq_tas_", Table1[[#This Row],[dm]])</f>
        <v>Wq_tas_9</v>
      </c>
      <c r="E100" s="1" t="str">
        <f t="shared" si="111"/>
        <v>CUSTOM</v>
      </c>
      <c r="F100" s="1" t="str">
        <f>_xlfn.CONCAT("TAS ", Table1[[#This Row],[dm]], " mean time in buffer")</f>
        <v>TAS 9 mean time in buffer</v>
      </c>
      <c r="G100" s="1" t="str">
        <f>_xlfn.CONCAT("Average time for a request to transit the buffer in TAS ",Table1[[#This Row],[dm]])</f>
        <v>Average time for a request to transit the buffer in TAS 9</v>
      </c>
      <c r="H100" s="1" t="b">
        <f t="shared" ref="H100:K100" si="152">H89</f>
        <v>0</v>
      </c>
      <c r="I100" s="1" t="str">
        <f t="shared" si="152"/>
        <v>CTRL</v>
      </c>
      <c r="J100" s="1" t="str">
        <f t="shared" si="152"/>
        <v>T</v>
      </c>
      <c r="K100" s="1" t="str">
        <f t="shared" si="152"/>
        <v>s</v>
      </c>
      <c r="L100" s="1">
        <v>0</v>
      </c>
      <c r="M100" s="9">
        <v>2.9235413063535701E-5</v>
      </c>
      <c r="N100" s="9">
        <v>2.9235413063535701E-5</v>
      </c>
      <c r="O100" s="1" t="str">
        <f>Table1[[#This Row],[_units]]</f>
        <v>s</v>
      </c>
      <c r="P100" s="1">
        <f>Table1[[#This Row],[_min]]</f>
        <v>0</v>
      </c>
      <c r="Q100" s="1">
        <f>Table1[[#This Row],[_max]]</f>
        <v>2.9235413063535701E-5</v>
      </c>
      <c r="R100" s="1">
        <f>Table1[[#This Row],[_mean]]</f>
        <v>2.9235413063535701E-5</v>
      </c>
      <c r="S100" s="1" t="str">
        <f t="shared" si="113"/>
        <v>queue_time</v>
      </c>
      <c r="T100" s="1" t="str">
        <f t="shared" ref="T100" si="153">_xlfn.CONCAT("['", C93, "' , '", C98, "']")</f>
        <v>['\chi_{9}' , 'Lq_{9}']</v>
      </c>
      <c r="U100" s="1" t="str">
        <f t="shared" si="146"/>
        <v>{}</v>
      </c>
    </row>
    <row r="101" spans="1:21" x14ac:dyDescent="0.5">
      <c r="A101" s="1">
        <v>100</v>
      </c>
      <c r="B101" s="1">
        <f t="shared" si="147"/>
        <v>10</v>
      </c>
      <c r="C101" s="1" t="str">
        <f>_xlfn.CONCAT("\lambda_{", Table1[[#This Row],[dm]],"}")</f>
        <v>\lambda_{10}</v>
      </c>
      <c r="D101" s="1" t="str">
        <f>_xlfn.CONCAT("lambda_tas_", Table1[[#This Row],[dm]])</f>
        <v>lambda_tas_10</v>
      </c>
      <c r="E101" s="1" t="str">
        <f t="shared" si="111"/>
        <v>CUSTOM</v>
      </c>
      <c r="F101" s="1" t="str">
        <f>_xlfn.CONCAT("TAS ", Table1[[#This Row],[dm]], " arrival rate")</f>
        <v>TAS 10 arrival rate</v>
      </c>
      <c r="G101" s="1" t="str">
        <f>_xlfn.CONCAT("Arrival rate for TAS ",Table1[[#This Row],[dm]])</f>
        <v>Arrival rate for TAS 10</v>
      </c>
      <c r="H101" s="1" t="b">
        <f t="shared" ref="H101:K101" si="154">H90</f>
        <v>1</v>
      </c>
      <c r="I101" s="1" t="str">
        <f t="shared" si="154"/>
        <v>IN</v>
      </c>
      <c r="J101" s="1" t="str">
        <f t="shared" si="154"/>
        <v>E*T^-1</v>
      </c>
      <c r="K101" s="1" t="str">
        <f t="shared" si="154"/>
        <v>req/s</v>
      </c>
      <c r="L101" s="1">
        <f>0.1*256.1625</f>
        <v>25.616250000000004</v>
      </c>
      <c r="M101" s="7">
        <f>1.9*256.1625</f>
        <v>486.70875000000001</v>
      </c>
      <c r="N101" s="8">
        <f>AVERAGE(Table1[[#This Row],[_min]:[_max]])</f>
        <v>256.16250000000002</v>
      </c>
      <c r="O101" s="1" t="str">
        <f>Table1[[#This Row],[_units]]</f>
        <v>req/s</v>
      </c>
      <c r="P101" s="1">
        <f>Table1[[#This Row],[_min]]</f>
        <v>25.616250000000004</v>
      </c>
      <c r="Q101" s="1">
        <f>Table1[[#This Row],[_max]]</f>
        <v>486.70875000000001</v>
      </c>
      <c r="R101" s="1">
        <f>Table1[[#This Row],[_mean]]</f>
        <v>256.16250000000002</v>
      </c>
      <c r="S101" s="1" t="str">
        <f t="shared" si="113"/>
        <v>uniform</v>
      </c>
      <c r="T101" s="1" t="str">
        <f t="shared" si="0"/>
        <v>[]</v>
      </c>
      <c r="U101" s="1" t="str">
        <f>_xlfn.CONCAT("{'low': ", Table1[[#This Row],[_std_min]], ", 'high': ",Table1[[#This Row],[_std_max]],"}")</f>
        <v>{'low': 25.61625, 'high': 486.70875}</v>
      </c>
    </row>
    <row r="102" spans="1:21" x14ac:dyDescent="0.5">
      <c r="A102" s="1">
        <v>101</v>
      </c>
      <c r="B102" s="1">
        <f t="shared" si="147"/>
        <v>10</v>
      </c>
      <c r="C102" s="1" t="str">
        <f>_xlfn.CONCAT("\mu_{",Table1[[#This Row],[dm]], "}")</f>
        <v>\mu_{10}</v>
      </c>
      <c r="D102" s="1" t="str">
        <f>_xlfn.CONCAT("mu_tas_", Table1[[#This Row],[dm]])</f>
        <v>mu_tas_10</v>
      </c>
      <c r="E102" s="1" t="str">
        <f t="shared" si="111"/>
        <v>CUSTOM</v>
      </c>
      <c r="F102" s="1" t="str">
        <f>_xlfn.CONCAT("TAS ", Table1[[#This Row],[dm]], " service rate")</f>
        <v>TAS 10 service rate</v>
      </c>
      <c r="G102" s="1" t="str">
        <f>_xlfn.CONCAT("Service rate for TAS ",Table1[[#This Row],[dm]])</f>
        <v>Service rate for TAS 10</v>
      </c>
      <c r="H102" s="1" t="b">
        <f t="shared" ref="H102:K102" si="155">H91</f>
        <v>1</v>
      </c>
      <c r="I102" s="1" t="str">
        <f t="shared" si="155"/>
        <v>CTRL</v>
      </c>
      <c r="J102" s="1" t="str">
        <f t="shared" si="155"/>
        <v>E*T^-1</v>
      </c>
      <c r="K102" s="1" t="str">
        <f t="shared" si="155"/>
        <v>req/s</v>
      </c>
      <c r="L102" s="1">
        <f>0.1*700</f>
        <v>70</v>
      </c>
      <c r="M102" s="5">
        <f>1.9*700</f>
        <v>1330</v>
      </c>
      <c r="N102" s="4">
        <f>AVERAGE(Table1[[#This Row],[_min]:[_max]])</f>
        <v>700</v>
      </c>
      <c r="O102" s="1" t="str">
        <f>Table1[[#This Row],[_units]]</f>
        <v>req/s</v>
      </c>
      <c r="P102" s="1">
        <f>Table1[[#This Row],[_min]]</f>
        <v>70</v>
      </c>
      <c r="Q102" s="1">
        <f>Table1[[#This Row],[_max]]</f>
        <v>1330</v>
      </c>
      <c r="R102" s="1">
        <f>Table1[[#This Row],[_mean]]</f>
        <v>700</v>
      </c>
      <c r="S102" s="1" t="str">
        <f t="shared" si="113"/>
        <v>uniform</v>
      </c>
      <c r="T102" s="1" t="str">
        <f t="shared" si="0"/>
        <v>[]</v>
      </c>
      <c r="U102" s="1" t="str">
        <f>_xlfn.CONCAT("{'low': ", Table1[[#This Row],[_std_min]], ", 'high': ",Table1[[#This Row],[_std_max]],"}")</f>
        <v>{'low': 70, 'high': 1330}</v>
      </c>
    </row>
    <row r="103" spans="1:21" x14ac:dyDescent="0.5">
      <c r="A103" s="1">
        <v>102</v>
      </c>
      <c r="B103" s="1">
        <f t="shared" si="147"/>
        <v>10</v>
      </c>
      <c r="C103" s="1" t="str">
        <f>_xlfn.CONCAT("err_{",Table1[[#This Row],[dm]], "}")</f>
        <v>err_{10}</v>
      </c>
      <c r="D103" s="1" t="str">
        <f>_xlfn.CONCAT("err_tas_", Table1[[#This Row],[dm]])</f>
        <v>err_tas_10</v>
      </c>
      <c r="E103" s="1" t="str">
        <f t="shared" si="111"/>
        <v>CUSTOM</v>
      </c>
      <c r="F103" s="1" t="str">
        <f>_xlfn.CONCAT("TAS ", Table1[[#This Row],[dm]], " error probability")</f>
        <v>TAS 10 error probability</v>
      </c>
      <c r="G103" s="1" t="str">
        <f>_xlfn.CONCAT("Service error probability for TAS ",Table1[[#This Row],[dm]])</f>
        <v>Service error probability for TAS 10</v>
      </c>
      <c r="H103" s="1" t="b">
        <f t="shared" ref="H103:K103" si="156">H92</f>
        <v>0</v>
      </c>
      <c r="I103" s="1" t="str">
        <f t="shared" si="156"/>
        <v>CTRL</v>
      </c>
      <c r="J103" s="1" t="str">
        <f t="shared" si="156"/>
        <v>E*T^-1</v>
      </c>
      <c r="K103" s="1" t="str">
        <f t="shared" si="156"/>
        <v>n.a.</v>
      </c>
      <c r="L103" s="3">
        <v>0</v>
      </c>
      <c r="M103" s="3">
        <v>0</v>
      </c>
      <c r="N103" s="3">
        <v>0</v>
      </c>
      <c r="O103" s="1" t="str">
        <f>Table1[[#This Row],[_units]]</f>
        <v>n.a.</v>
      </c>
      <c r="P103" s="1">
        <f>Table1[[#This Row],[_min]]</f>
        <v>0</v>
      </c>
      <c r="Q103" s="1">
        <f>Table1[[#This Row],[_max]]</f>
        <v>0</v>
      </c>
      <c r="R103" s="1">
        <f>Table1[[#This Row],[_mean]]</f>
        <v>0</v>
      </c>
      <c r="S103" s="1" t="str">
        <f t="shared" si="113"/>
        <v>adjusted_uniform</v>
      </c>
      <c r="T103" s="1" t="str">
        <f t="shared" si="0"/>
        <v>[]</v>
      </c>
      <c r="U103" s="1" t="str">
        <f>_xlfn.CONCAT("{'constant': ",Table1[[#This Row],[_std_max]],"}")</f>
        <v>{'constant': 0}</v>
      </c>
    </row>
    <row r="104" spans="1:21" x14ac:dyDescent="0.5">
      <c r="A104" s="1">
        <v>103</v>
      </c>
      <c r="B104" s="1">
        <f t="shared" si="147"/>
        <v>10</v>
      </c>
      <c r="C104" s="1" t="str">
        <f>_xlfn.CONCAT("\chi_{",Table1[[#This Row],[dm]], "}")</f>
        <v>\chi_{10}</v>
      </c>
      <c r="D104" s="1" t="str">
        <f>_xlfn.CONCAT("chi_tas_", Table1[[#This Row],[dm]])</f>
        <v>chi_tas_10</v>
      </c>
      <c r="E104" s="1" t="str">
        <f t="shared" si="111"/>
        <v>CUSTOM</v>
      </c>
      <c r="F104" s="1" t="str">
        <f>_xlfn.CONCAT("TAS ", Table1[[#This Row],[dm]], " departure rate")</f>
        <v>TAS 10 departure rate</v>
      </c>
      <c r="G104" s="1" t="str">
        <f>_xlfn.CONCAT("Departure rate for TAS ",Table1[[#This Row],[dm]])</f>
        <v>Departure rate for TAS 10</v>
      </c>
      <c r="H104" s="1" t="b">
        <f t="shared" ref="H104:K104" si="157">H93</f>
        <v>1</v>
      </c>
      <c r="I104" s="1" t="str">
        <f t="shared" si="157"/>
        <v>CTRL</v>
      </c>
      <c r="J104" s="1" t="str">
        <f t="shared" si="157"/>
        <v>E*T^-1</v>
      </c>
      <c r="K104" s="1" t="str">
        <f t="shared" si="157"/>
        <v>req/s</v>
      </c>
      <c r="L104" s="1">
        <f>0.1*256.1625</f>
        <v>25.616250000000004</v>
      </c>
      <c r="M104" s="7">
        <f>1.9*256.1625</f>
        <v>486.70875000000001</v>
      </c>
      <c r="N104" s="6">
        <f>AVERAGE(Table1[[#This Row],[_min]:[_max]])</f>
        <v>256.16250000000002</v>
      </c>
      <c r="O104" s="1" t="str">
        <f>Table1[[#This Row],[_units]]</f>
        <v>req/s</v>
      </c>
      <c r="P104" s="1">
        <f>Table1[[#This Row],[_min]]</f>
        <v>25.616250000000004</v>
      </c>
      <c r="Q104" s="1">
        <f>Table1[[#This Row],[_max]]</f>
        <v>486.70875000000001</v>
      </c>
      <c r="R104" s="1">
        <f>Table1[[#This Row],[_mean]]</f>
        <v>256.16250000000002</v>
      </c>
      <c r="S104" s="1" t="str">
        <f t="shared" si="113"/>
        <v>adjusted_rate</v>
      </c>
      <c r="T104" s="1" t="str">
        <f t="shared" ref="T104" si="158">_xlfn.CONCAT("['", C101, "' , '", C103, "']")</f>
        <v>['\lambda_{10}' , 'err_{10}']</v>
      </c>
      <c r="U104" s="1" t="str">
        <f t="shared" ref="U104" si="159">_xlfn.CONCAT("{", "}")</f>
        <v>{}</v>
      </c>
    </row>
    <row r="105" spans="1:21" x14ac:dyDescent="0.5">
      <c r="A105" s="1">
        <v>104</v>
      </c>
      <c r="B105" s="1">
        <f t="shared" si="147"/>
        <v>10</v>
      </c>
      <c r="C105" s="1" t="str">
        <f>_xlfn.CONCAT("c_{",Table1[[#This Row],[dm]], "}")</f>
        <v>c_{10}</v>
      </c>
      <c r="D105" s="1" t="str">
        <f>_xlfn.CONCAT("c_tas_", Table1[[#This Row],[dm]])</f>
        <v>c_tas_10</v>
      </c>
      <c r="E105" s="1" t="str">
        <f t="shared" si="111"/>
        <v>CUSTOM</v>
      </c>
      <c r="F105" s="1" t="str">
        <f>_xlfn.CONCAT("TAS ", Table1[[#This Row],[dm]], " resourses")</f>
        <v>TAS 10 resourses</v>
      </c>
      <c r="G105" s="1" t="str">
        <f>_xlfn.CONCAT("Number of resources allocated in TAS ",Table1[[#This Row],[dm]])</f>
        <v>Number of resources allocated in TAS 10</v>
      </c>
      <c r="H105" s="1" t="b">
        <f t="shared" ref="H105:K105" si="160">H94</f>
        <v>1</v>
      </c>
      <c r="I105" s="1" t="str">
        <f t="shared" si="160"/>
        <v>IN</v>
      </c>
      <c r="J105" s="1" t="str">
        <f t="shared" si="160"/>
        <v>E</v>
      </c>
      <c r="K105" s="1" t="str">
        <f t="shared" si="160"/>
        <v>req</v>
      </c>
      <c r="L105" s="1">
        <v>1</v>
      </c>
      <c r="M105" s="1">
        <f>Table1[[#This Row],[_min]]+2</f>
        <v>3</v>
      </c>
      <c r="N105" s="1">
        <f>AVERAGE(Table1[[#This Row],[_min]:[_max]])</f>
        <v>2</v>
      </c>
      <c r="O105" s="1" t="str">
        <f>Table1[[#This Row],[_units]]</f>
        <v>req</v>
      </c>
      <c r="P105" s="1">
        <f>Table1[[#This Row],[_min]]</f>
        <v>1</v>
      </c>
      <c r="Q105" s="1">
        <f>Table1[[#This Row],[_max]]</f>
        <v>3</v>
      </c>
      <c r="R105" s="1">
        <f>Table1[[#This Row],[_mean]]</f>
        <v>2</v>
      </c>
      <c r="S105" s="1" t="str">
        <f t="shared" si="113"/>
        <v>uniform_int</v>
      </c>
      <c r="T105" s="1" t="str">
        <f t="shared" si="0"/>
        <v>[]</v>
      </c>
      <c r="U105" s="1" t="str">
        <f>_xlfn.CONCAT("{'low': ", Table1[[#This Row],[_std_min]], ", 'high': ",Table1[[#This Row],[_std_max]],"}")</f>
        <v>{'low': 1, 'high': 3}</v>
      </c>
    </row>
    <row r="106" spans="1:21" x14ac:dyDescent="0.5">
      <c r="A106" s="1">
        <v>105</v>
      </c>
      <c r="B106" s="1">
        <f t="shared" si="147"/>
        <v>10</v>
      </c>
      <c r="C106" s="1" t="str">
        <f>_xlfn.CONCAT("K_{",Table1[[#This Row],[dm]],"}")</f>
        <v>K_{10}</v>
      </c>
      <c r="D106" s="1" t="str">
        <f>_xlfn.CONCAT("K_tas_", Table1[[#This Row],[dm]])</f>
        <v>K_tas_10</v>
      </c>
      <c r="E106" s="1" t="str">
        <f t="shared" si="111"/>
        <v>CUSTOM</v>
      </c>
      <c r="F106" s="1" t="str">
        <f>_xlfn.CONCAT("TAS ", Table1[[#This Row],[dm]], " q-capacity")</f>
        <v>TAS 10 q-capacity</v>
      </c>
      <c r="G106" s="1" t="str">
        <f>_xlfn.CONCAT("Allocated request capacity in TAS ",Table1[[#This Row],[dm]]," memory buffer")</f>
        <v>Allocated request capacity in TAS 10 memory buffer</v>
      </c>
      <c r="H106" s="1" t="b">
        <f t="shared" ref="H106:K106" si="161">H95</f>
        <v>1</v>
      </c>
      <c r="I106" s="1" t="str">
        <f t="shared" si="161"/>
        <v>CTRL</v>
      </c>
      <c r="J106" s="1" t="str">
        <f t="shared" si="161"/>
        <v>E</v>
      </c>
      <c r="K106" s="1" t="str">
        <f t="shared" si="161"/>
        <v>req</v>
      </c>
      <c r="L106" s="1">
        <v>1</v>
      </c>
      <c r="M106" s="1">
        <f>Table1[[#This Row],[_min]]+10</f>
        <v>11</v>
      </c>
      <c r="N106" s="1">
        <f>AVERAGE(Table1[[#This Row],[_min]:[_max]])</f>
        <v>6</v>
      </c>
      <c r="O106" s="1" t="str">
        <f>Table1[[#This Row],[_units]]</f>
        <v>req</v>
      </c>
      <c r="P106" s="1">
        <f>Table1[[#This Row],[_min]]</f>
        <v>1</v>
      </c>
      <c r="Q106" s="1">
        <f>Table1[[#This Row],[_max]]</f>
        <v>11</v>
      </c>
      <c r="R106" s="1">
        <f>Table1[[#This Row],[_mean]]</f>
        <v>6</v>
      </c>
      <c r="S106" s="1" t="str">
        <f t="shared" si="113"/>
        <v>shifted_uniform_int</v>
      </c>
      <c r="T106" s="1" t="str">
        <f t="shared" ref="T106" si="162">_xlfn.CONCAT("['", C105, "']")</f>
        <v>['c_{10}']</v>
      </c>
      <c r="U106" s="1" t="str">
        <f>_xlfn.CONCAT("{'low': ", Table1[[#This Row],[_std_min]], ", 'high': ",Table1[[#This Row],[_std_max]],"}")</f>
        <v>{'low': 1, 'high': 11}</v>
      </c>
    </row>
    <row r="107" spans="1:21" x14ac:dyDescent="0.5">
      <c r="A107" s="1">
        <v>106</v>
      </c>
      <c r="B107" s="1">
        <f t="shared" si="147"/>
        <v>10</v>
      </c>
      <c r="C107" s="1" t="str">
        <f>_xlfn.CONCAT("\delta_{", Table1[[#This Row],[dm]],"}")</f>
        <v>\delta_{10}</v>
      </c>
      <c r="D107" s="1" t="str">
        <f>_xlfn.CONCAT("delta_tas_", Table1[[#This Row],[dm]])</f>
        <v>delta_tas_10</v>
      </c>
      <c r="E107" s="1" t="str">
        <f t="shared" si="111"/>
        <v>CUSTOM</v>
      </c>
      <c r="F107" s="1" t="str">
        <f>_xlfn.CONCAT("TAS ", Table1[[#This Row],[dm]], " req data density")</f>
        <v>TAS 10 req data density</v>
      </c>
      <c r="G107" s="1" t="str">
        <f>_xlfn.CONCAT("Data density for request in TAS ", Table1[[#This Row],[dm]], " expected data per requests")</f>
        <v>Data density for request in TAS 10 expected data per requests</v>
      </c>
      <c r="H107" s="1" t="b">
        <f t="shared" ref="H107:K107" si="163">H96</f>
        <v>0</v>
      </c>
      <c r="I107" s="1" t="str">
        <f t="shared" si="163"/>
        <v>IN</v>
      </c>
      <c r="J107" s="1" t="str">
        <f t="shared" si="163"/>
        <v>D*E^-1</v>
      </c>
      <c r="K107" s="1" t="str">
        <f t="shared" si="163"/>
        <v>kB/req</v>
      </c>
      <c r="L107" s="1">
        <v>128</v>
      </c>
      <c r="M107" s="1">
        <f>2*1000</f>
        <v>2000</v>
      </c>
      <c r="N107" s="1">
        <f>AVERAGE(Table1[[#This Row],[_min]:[_max]])</f>
        <v>1064</v>
      </c>
      <c r="O107" s="1" t="s">
        <v>11</v>
      </c>
      <c r="P107" s="1">
        <f>Table1[[#This Row],[_min]]*1024000</f>
        <v>131072000</v>
      </c>
      <c r="Q107" s="1">
        <f>Table1[[#This Row],[_max]]*1024000</f>
        <v>2048000000</v>
      </c>
      <c r="R107" s="1">
        <f>Table1[[#This Row],[_mean]]*1024000</f>
        <v>1089536000</v>
      </c>
      <c r="S107" s="1" t="str">
        <f t="shared" si="113"/>
        <v>uniform</v>
      </c>
      <c r="T107" s="1" t="str">
        <f t="shared" si="0"/>
        <v>[]</v>
      </c>
      <c r="U107" s="1" t="str">
        <f>_xlfn.CONCAT("{'low': ", Table1[[#This Row],[_std_min]], ", 'high': ",Table1[[#This Row],[_std_max]],"}")</f>
        <v>{'low': 131072000, 'high': 2048000000}</v>
      </c>
    </row>
    <row r="108" spans="1:21" x14ac:dyDescent="0.5">
      <c r="A108" s="1">
        <v>107</v>
      </c>
      <c r="B108" s="1">
        <f t="shared" si="147"/>
        <v>10</v>
      </c>
      <c r="C108" s="1" t="str">
        <f>_xlfn.CONCAT("L_{",Table1[[#This Row],[dm]], "}")</f>
        <v>L_{10}</v>
      </c>
      <c r="D108" s="1" t="str">
        <f>_xlfn.CONCAT("L_tas_", Table1[[#This Row],[dm]])</f>
        <v>L_tas_10</v>
      </c>
      <c r="E108" s="1" t="str">
        <f t="shared" si="111"/>
        <v>CUSTOM</v>
      </c>
      <c r="F108" s="1" t="str">
        <f>_xlfn.CONCAT("TAS ", Table1[[#This Row],[dm]], " mean processing requests")</f>
        <v>TAS 10 mean processing requests</v>
      </c>
      <c r="G108" s="1" t="str">
        <f>_xlfn.CONCAT("Average number of request in TAS ",Table1[[#This Row],[dm]], " component")</f>
        <v>Average number of request in TAS 10 component</v>
      </c>
      <c r="H108" s="1" t="b">
        <f t="shared" ref="H108:K108" si="164">H97</f>
        <v>1</v>
      </c>
      <c r="I108" s="1" t="str">
        <f t="shared" si="164"/>
        <v>CTRL</v>
      </c>
      <c r="J108" s="1" t="str">
        <f t="shared" si="164"/>
        <v>E</v>
      </c>
      <c r="K108" s="1" t="str">
        <f t="shared" si="164"/>
        <v>req</v>
      </c>
      <c r="L108" s="1">
        <v>1</v>
      </c>
      <c r="M108" s="1">
        <f>Table1[[#This Row],[_min]]+10</f>
        <v>11</v>
      </c>
      <c r="N108" s="1">
        <f>AVERAGE(Table1[[#This Row],[_min]:[_max]])</f>
        <v>6</v>
      </c>
      <c r="O108" s="1" t="str">
        <f>Table1[[#This Row],[_units]]</f>
        <v>req</v>
      </c>
      <c r="P108" s="1">
        <f>Table1[[#This Row],[_min]]</f>
        <v>1</v>
      </c>
      <c r="Q108" s="1">
        <f>Table1[[#This Row],[_max]]</f>
        <v>11</v>
      </c>
      <c r="R108" s="1">
        <f>Table1[[#This Row],[_mean]]</f>
        <v>6</v>
      </c>
      <c r="S108" s="1" t="str">
        <f t="shared" si="113"/>
        <v>queue_length</v>
      </c>
      <c r="T108" s="1" t="str">
        <f t="shared" ref="T108" si="165">_xlfn.CONCAT("['", C101, "' , '", C102, "' , '", C105, "' , '", C106, "']")</f>
        <v>['\lambda_{10}' , '\mu_{10}' , 'c_{10}' , 'K_{10}']</v>
      </c>
      <c r="U108" s="1" t="str">
        <f t="shared" ref="U108:U111" si="166">_xlfn.CONCAT("{", "}")</f>
        <v>{}</v>
      </c>
    </row>
    <row r="109" spans="1:21" x14ac:dyDescent="0.5">
      <c r="A109" s="1">
        <v>108</v>
      </c>
      <c r="B109" s="1">
        <f t="shared" si="147"/>
        <v>10</v>
      </c>
      <c r="C109" s="1" t="str">
        <f>_xlfn.CONCAT("Lq_{",Table1[[#This Row],[dm]], "}")</f>
        <v>Lq_{10}</v>
      </c>
      <c r="D109" s="1" t="str">
        <f>_xlfn.CONCAT("Lq_tas_", Table1[[#This Row],[dm]])</f>
        <v>Lq_tas_10</v>
      </c>
      <c r="E109" s="1" t="str">
        <f t="shared" si="111"/>
        <v>CUSTOM</v>
      </c>
      <c r="F109" s="1" t="str">
        <f>_xlfn.CONCAT("TAS ", Table1[[#This Row],[dm]], " mean in memory requests")</f>
        <v>TAS 10 mean in memory requests</v>
      </c>
      <c r="G109" s="1" t="str">
        <f>_xlfn.CONCAT("Average number of request in TAS ",Table1[[#This Row],[dm]], " memory")</f>
        <v>Average number of request in TAS 10 memory</v>
      </c>
      <c r="H109" s="1" t="b">
        <f t="shared" ref="H109:K109" si="167">H98</f>
        <v>0</v>
      </c>
      <c r="I109" s="1" t="str">
        <f t="shared" si="167"/>
        <v>CTRL</v>
      </c>
      <c r="J109" s="1" t="str">
        <f t="shared" si="167"/>
        <v>E</v>
      </c>
      <c r="K109" s="1" t="str">
        <f t="shared" si="167"/>
        <v>req</v>
      </c>
      <c r="L109" s="1">
        <v>1</v>
      </c>
      <c r="M109" s="1">
        <f>Table1[[#This Row],[_min]]+10</f>
        <v>11</v>
      </c>
      <c r="N109" s="1">
        <f>AVERAGE(Table1[[#This Row],[_min]:[_max]])</f>
        <v>6</v>
      </c>
      <c r="O109" s="1" t="str">
        <f>Table1[[#This Row],[_units]]</f>
        <v>req</v>
      </c>
      <c r="P109" s="1">
        <f>Table1[[#This Row],[_min]]</f>
        <v>1</v>
      </c>
      <c r="Q109" s="1">
        <f>Table1[[#This Row],[_max]]</f>
        <v>11</v>
      </c>
      <c r="R109" s="1">
        <f>Table1[[#This Row],[_mean]]</f>
        <v>6</v>
      </c>
      <c r="S109" s="1" t="str">
        <f t="shared" si="113"/>
        <v>queue_length</v>
      </c>
      <c r="T109" s="1" t="str">
        <f t="shared" ref="T109" si="168">_xlfn.CONCAT("['", C101, "' , '", C102, "' , '", C105, "' , '", C106, "']")</f>
        <v>['\lambda_{10}' , '\mu_{10}' , 'c_{10}' , 'K_{10}']</v>
      </c>
      <c r="U109" s="1" t="str">
        <f t="shared" si="166"/>
        <v>{}</v>
      </c>
    </row>
    <row r="110" spans="1:21" x14ac:dyDescent="0.5">
      <c r="A110" s="1">
        <v>109</v>
      </c>
      <c r="B110" s="1">
        <f t="shared" si="147"/>
        <v>10</v>
      </c>
      <c r="C110" s="1" t="str">
        <f>_xlfn.CONCAT("W_{",Table1[[#This Row],[dm]], "}")</f>
        <v>W_{10}</v>
      </c>
      <c r="D110" s="1" t="str">
        <f>_xlfn.CONCAT("W_tas_", Table1[[#This Row],[dm]])</f>
        <v>W_tas_10</v>
      </c>
      <c r="E110" s="1" t="str">
        <f t="shared" si="111"/>
        <v>CUSTOM</v>
      </c>
      <c r="F110" s="1" t="str">
        <f>_xlfn.CONCAT("TAS ", Table1[[#This Row],[dm]], " mean time to answer")</f>
        <v>TAS 10 mean time to answer</v>
      </c>
      <c r="G110" s="1" t="str">
        <f>_xlfn.CONCAT("Average time to complete a request in TAS ",Table1[[#This Row],[dm]])</f>
        <v>Average time to complete a request in TAS 10</v>
      </c>
      <c r="H110" s="1" t="b">
        <f t="shared" ref="H110:K110" si="169">H99</f>
        <v>1</v>
      </c>
      <c r="I110" s="1" t="str">
        <f t="shared" si="169"/>
        <v>OUT</v>
      </c>
      <c r="J110" s="1" t="str">
        <f t="shared" si="169"/>
        <v>T</v>
      </c>
      <c r="K110" s="1" t="str">
        <f t="shared" si="169"/>
        <v>s</v>
      </c>
      <c r="L110" s="1">
        <v>0</v>
      </c>
      <c r="M110" s="8">
        <v>2.2530768580843199E-3</v>
      </c>
      <c r="N110" s="8">
        <v>2.2530768580843199E-3</v>
      </c>
      <c r="O110" s="1" t="str">
        <f>Table1[[#This Row],[_units]]</f>
        <v>s</v>
      </c>
      <c r="P110" s="1">
        <f>Table1[[#This Row],[_min]]</f>
        <v>0</v>
      </c>
      <c r="Q110" s="1">
        <f>Table1[[#This Row],[_max]]</f>
        <v>2.2530768580843199E-3</v>
      </c>
      <c r="R110" s="1">
        <f>Table1[[#This Row],[_mean]]</f>
        <v>2.2530768580843199E-3</v>
      </c>
      <c r="S110" s="1" t="str">
        <f t="shared" si="113"/>
        <v>queue_time</v>
      </c>
      <c r="T110" s="1" t="str">
        <f t="shared" ref="T110" si="170">_xlfn.CONCAT("['", C104, "' , '", C108, "']")</f>
        <v>['\chi_{10}' , 'L_{10}']</v>
      </c>
      <c r="U110" s="1" t="str">
        <f t="shared" si="166"/>
        <v>{}</v>
      </c>
    </row>
    <row r="111" spans="1:21" x14ac:dyDescent="0.5">
      <c r="A111" s="1">
        <v>110</v>
      </c>
      <c r="B111" s="1">
        <f t="shared" si="147"/>
        <v>10</v>
      </c>
      <c r="C111" s="1" t="str">
        <f>_xlfn.CONCAT("Wq_{",Table1[[#This Row],[dm]], "}")</f>
        <v>Wq_{10}</v>
      </c>
      <c r="D111" s="1" t="str">
        <f>_xlfn.CONCAT("Wq_tas_", Table1[[#This Row],[dm]])</f>
        <v>Wq_tas_10</v>
      </c>
      <c r="E111" s="1" t="str">
        <f t="shared" si="111"/>
        <v>CUSTOM</v>
      </c>
      <c r="F111" s="1" t="str">
        <f>_xlfn.CONCAT("TAS ", Table1[[#This Row],[dm]], " mean time in buffer")</f>
        <v>TAS 10 mean time in buffer</v>
      </c>
      <c r="G111" s="1" t="str">
        <f>_xlfn.CONCAT("Average time for a request to transit the buffer in TAS ",Table1[[#This Row],[dm]])</f>
        <v>Average time for a request to transit the buffer in TAS 10</v>
      </c>
      <c r="H111" s="1" t="b">
        <f t="shared" ref="H111:K111" si="171">H100</f>
        <v>0</v>
      </c>
      <c r="I111" s="1" t="str">
        <f t="shared" si="171"/>
        <v>CTRL</v>
      </c>
      <c r="J111" s="1" t="str">
        <f t="shared" si="171"/>
        <v>T</v>
      </c>
      <c r="K111" s="1" t="str">
        <f t="shared" si="171"/>
        <v>s</v>
      </c>
      <c r="L111" s="1">
        <v>0</v>
      </c>
      <c r="M111" s="8">
        <v>8.2450542951289195E-4</v>
      </c>
      <c r="N111" s="8">
        <v>8.2450542951289195E-4</v>
      </c>
      <c r="O111" s="1" t="str">
        <f>Table1[[#This Row],[_units]]</f>
        <v>s</v>
      </c>
      <c r="P111" s="1">
        <f>Table1[[#This Row],[_min]]</f>
        <v>0</v>
      </c>
      <c r="Q111" s="1">
        <f>Table1[[#This Row],[_max]]</f>
        <v>8.2450542951289195E-4</v>
      </c>
      <c r="R111" s="1">
        <f>Table1[[#This Row],[_mean]]</f>
        <v>8.2450542951289195E-4</v>
      </c>
      <c r="S111" s="1" t="str">
        <f t="shared" si="113"/>
        <v>queue_time</v>
      </c>
      <c r="T111" s="1" t="str">
        <f t="shared" ref="T111" si="172">_xlfn.CONCAT("['", C104, "' , '", C109, "']")</f>
        <v>['\chi_{10}' , 'Lq_{10}']</v>
      </c>
      <c r="U111" s="1" t="str">
        <f t="shared" si="166"/>
        <v>{}</v>
      </c>
    </row>
    <row r="112" spans="1:21" x14ac:dyDescent="0.5">
      <c r="A112" s="1">
        <v>111</v>
      </c>
      <c r="B112" s="1">
        <f t="shared" si="147"/>
        <v>11</v>
      </c>
      <c r="C112" s="1" t="str">
        <f>_xlfn.CONCAT("\lambda_{", Table1[[#This Row],[dm]],"}")</f>
        <v>\lambda_{11}</v>
      </c>
      <c r="D112" s="1" t="str">
        <f>_xlfn.CONCAT("lambda_tas_", Table1[[#This Row],[dm]])</f>
        <v>lambda_tas_11</v>
      </c>
      <c r="E112" s="1" t="str">
        <f t="shared" si="111"/>
        <v>CUSTOM</v>
      </c>
      <c r="F112" s="1" t="str">
        <f>_xlfn.CONCAT("TAS ", Table1[[#This Row],[dm]], " arrival rate")</f>
        <v>TAS 11 arrival rate</v>
      </c>
      <c r="G112" s="1" t="str">
        <f>_xlfn.CONCAT("Arrival rate for TAS ",Table1[[#This Row],[dm]])</f>
        <v>Arrival rate for TAS 11</v>
      </c>
      <c r="H112" s="1" t="b">
        <f t="shared" ref="H112:K112" si="173">H101</f>
        <v>1</v>
      </c>
      <c r="I112" s="1" t="str">
        <f t="shared" si="173"/>
        <v>IN</v>
      </c>
      <c r="J112" s="1" t="str">
        <f t="shared" si="173"/>
        <v>E*T^-1</v>
      </c>
      <c r="K112" s="1" t="str">
        <f t="shared" si="173"/>
        <v>req/s</v>
      </c>
      <c r="L112" s="1">
        <f>0.1*177.965526315789</f>
        <v>17.796552631578901</v>
      </c>
      <c r="M112" s="7">
        <f>1.9*177.965526315789</f>
        <v>338.13449999999909</v>
      </c>
      <c r="N112" s="8">
        <f>AVERAGE(Table1[[#This Row],[_min]:[_max]])</f>
        <v>177.96552631578899</v>
      </c>
      <c r="O112" s="1" t="str">
        <f>Table1[[#This Row],[_units]]</f>
        <v>req/s</v>
      </c>
      <c r="P112" s="1">
        <f>Table1[[#This Row],[_min]]</f>
        <v>17.796552631578901</v>
      </c>
      <c r="Q112" s="1">
        <f>Table1[[#This Row],[_max]]</f>
        <v>338.13449999999909</v>
      </c>
      <c r="R112" s="1">
        <f>Table1[[#This Row],[_mean]]</f>
        <v>177.96552631578899</v>
      </c>
      <c r="S112" s="1" t="str">
        <f t="shared" si="113"/>
        <v>uniform</v>
      </c>
      <c r="T112" s="1" t="str">
        <f t="shared" si="0"/>
        <v>[]</v>
      </c>
      <c r="U112" s="1" t="str">
        <f>_xlfn.CONCAT("{'low': ", Table1[[#This Row],[_std_min]], ", 'high': ",Table1[[#This Row],[_std_max]],"}")</f>
        <v>{'low': 17.7965526315789, 'high': 338.134499999999}</v>
      </c>
    </row>
    <row r="113" spans="1:21" x14ac:dyDescent="0.5">
      <c r="A113" s="1">
        <v>112</v>
      </c>
      <c r="B113" s="1">
        <f t="shared" si="147"/>
        <v>11</v>
      </c>
      <c r="C113" s="1" t="str">
        <f>_xlfn.CONCAT("\mu_{",Table1[[#This Row],[dm]], "}")</f>
        <v>\mu_{11}</v>
      </c>
      <c r="D113" s="1" t="str">
        <f>_xlfn.CONCAT("mu_tas_", Table1[[#This Row],[dm]])</f>
        <v>mu_tas_11</v>
      </c>
      <c r="E113" s="1" t="str">
        <f t="shared" si="111"/>
        <v>CUSTOM</v>
      </c>
      <c r="F113" s="1" t="str">
        <f>_xlfn.CONCAT("TAS ", Table1[[#This Row],[dm]], " service rate")</f>
        <v>TAS 11 service rate</v>
      </c>
      <c r="G113" s="1" t="str">
        <f>_xlfn.CONCAT("Service rate for TAS ",Table1[[#This Row],[dm]])</f>
        <v>Service rate for TAS 11</v>
      </c>
      <c r="H113" s="1" t="b">
        <f t="shared" ref="H113:K113" si="174">H102</f>
        <v>1</v>
      </c>
      <c r="I113" s="1" t="str">
        <f t="shared" si="174"/>
        <v>CTRL</v>
      </c>
      <c r="J113" s="1" t="str">
        <f t="shared" si="174"/>
        <v>E*T^-1</v>
      </c>
      <c r="K113" s="1" t="str">
        <f t="shared" si="174"/>
        <v>req/s</v>
      </c>
      <c r="L113" s="1">
        <f>0.1*550</f>
        <v>55</v>
      </c>
      <c r="M113" s="5">
        <f>1.9*550</f>
        <v>1045</v>
      </c>
      <c r="N113" s="4">
        <f>AVERAGE(Table1[[#This Row],[_min]:[_max]])</f>
        <v>550</v>
      </c>
      <c r="O113" s="1" t="str">
        <f>Table1[[#This Row],[_units]]</f>
        <v>req/s</v>
      </c>
      <c r="P113" s="1">
        <f>Table1[[#This Row],[_min]]</f>
        <v>55</v>
      </c>
      <c r="Q113" s="1">
        <f>Table1[[#This Row],[_max]]</f>
        <v>1045</v>
      </c>
      <c r="R113" s="1">
        <f>Table1[[#This Row],[_mean]]</f>
        <v>550</v>
      </c>
      <c r="S113" s="1" t="str">
        <f t="shared" si="113"/>
        <v>uniform</v>
      </c>
      <c r="T113" s="1" t="str">
        <f t="shared" si="0"/>
        <v>[]</v>
      </c>
      <c r="U113" s="1" t="str">
        <f>_xlfn.CONCAT("{'low': ", Table1[[#This Row],[_std_min]], ", 'high': ",Table1[[#This Row],[_std_max]],"}")</f>
        <v>{'low': 55, 'high': 1045}</v>
      </c>
    </row>
    <row r="114" spans="1:21" x14ac:dyDescent="0.5">
      <c r="A114" s="1">
        <v>113</v>
      </c>
      <c r="B114" s="1">
        <f t="shared" si="147"/>
        <v>11</v>
      </c>
      <c r="C114" s="1" t="str">
        <f>_xlfn.CONCAT("err_{",Table1[[#This Row],[dm]], "}")</f>
        <v>err_{11}</v>
      </c>
      <c r="D114" s="1" t="str">
        <f>_xlfn.CONCAT("err_tas_", Table1[[#This Row],[dm]])</f>
        <v>err_tas_11</v>
      </c>
      <c r="E114" s="1" t="str">
        <f t="shared" si="111"/>
        <v>CUSTOM</v>
      </c>
      <c r="F114" s="1" t="str">
        <f>_xlfn.CONCAT("TAS ", Table1[[#This Row],[dm]], " error probability")</f>
        <v>TAS 11 error probability</v>
      </c>
      <c r="G114" s="1" t="str">
        <f>_xlfn.CONCAT("Service error probability for TAS ",Table1[[#This Row],[dm]])</f>
        <v>Service error probability for TAS 11</v>
      </c>
      <c r="H114" s="1" t="b">
        <f t="shared" ref="H114:K114" si="175">H103</f>
        <v>0</v>
      </c>
      <c r="I114" s="1" t="str">
        <f t="shared" si="175"/>
        <v>CTRL</v>
      </c>
      <c r="J114" s="1" t="str">
        <f t="shared" si="175"/>
        <v>E*T^-1</v>
      </c>
      <c r="K114" s="1" t="str">
        <f t="shared" si="175"/>
        <v>n.a.</v>
      </c>
      <c r="L114" s="3">
        <v>0.05</v>
      </c>
      <c r="M114" s="3">
        <v>0.05</v>
      </c>
      <c r="N114" s="3">
        <v>0.05</v>
      </c>
      <c r="O114" s="1" t="str">
        <f>Table1[[#This Row],[_units]]</f>
        <v>n.a.</v>
      </c>
      <c r="P114" s="1">
        <f>Table1[[#This Row],[_min]]</f>
        <v>0.05</v>
      </c>
      <c r="Q114" s="1">
        <f>Table1[[#This Row],[_max]]</f>
        <v>0.05</v>
      </c>
      <c r="R114" s="1">
        <f>Table1[[#This Row],[_mean]]</f>
        <v>0.05</v>
      </c>
      <c r="S114" s="1" t="str">
        <f t="shared" si="113"/>
        <v>adjusted_uniform</v>
      </c>
      <c r="T114" s="1" t="str">
        <f t="shared" si="0"/>
        <v>[]</v>
      </c>
      <c r="U114" s="1" t="str">
        <f>_xlfn.CONCAT("{'constant': ",Table1[[#This Row],[_std_max]],"}")</f>
        <v>{'constant': 0.05}</v>
      </c>
    </row>
    <row r="115" spans="1:21" x14ac:dyDescent="0.5">
      <c r="A115" s="1">
        <v>114</v>
      </c>
      <c r="B115" s="1">
        <f t="shared" si="147"/>
        <v>11</v>
      </c>
      <c r="C115" s="1" t="str">
        <f>_xlfn.CONCAT("\chi_{",Table1[[#This Row],[dm]], "}")</f>
        <v>\chi_{11}</v>
      </c>
      <c r="D115" s="1" t="str">
        <f>_xlfn.CONCAT("chi_tas_", Table1[[#This Row],[dm]])</f>
        <v>chi_tas_11</v>
      </c>
      <c r="E115" s="1" t="str">
        <f t="shared" si="111"/>
        <v>CUSTOM</v>
      </c>
      <c r="F115" s="1" t="str">
        <f>_xlfn.CONCAT("TAS ", Table1[[#This Row],[dm]], " departure rate")</f>
        <v>TAS 11 departure rate</v>
      </c>
      <c r="G115" s="1" t="str">
        <f>_xlfn.CONCAT("Departure rate for TAS ",Table1[[#This Row],[dm]])</f>
        <v>Departure rate for TAS 11</v>
      </c>
      <c r="H115" s="1" t="b">
        <f t="shared" ref="H115:K115" si="176">H104</f>
        <v>1</v>
      </c>
      <c r="I115" s="1" t="str">
        <f t="shared" si="176"/>
        <v>CTRL</v>
      </c>
      <c r="J115" s="1" t="str">
        <f t="shared" si="176"/>
        <v>E*T^-1</v>
      </c>
      <c r="K115" s="1" t="str">
        <f t="shared" si="176"/>
        <v>req/s</v>
      </c>
      <c r="L115" s="1">
        <f>0.1*177.965526315789</f>
        <v>17.796552631578901</v>
      </c>
      <c r="M115" s="7">
        <f>1.9*177.965526315789</f>
        <v>338.13449999999909</v>
      </c>
      <c r="N115" s="6">
        <f>AVERAGE(Table1[[#This Row],[_min]:[_max]])</f>
        <v>177.96552631578899</v>
      </c>
      <c r="O115" s="1" t="str">
        <f>Table1[[#This Row],[_units]]</f>
        <v>req/s</v>
      </c>
      <c r="P115" s="1">
        <f>Table1[[#This Row],[_min]]</f>
        <v>17.796552631578901</v>
      </c>
      <c r="Q115" s="1">
        <f>Table1[[#This Row],[_max]]</f>
        <v>338.13449999999909</v>
      </c>
      <c r="R115" s="1">
        <f>Table1[[#This Row],[_mean]]</f>
        <v>177.96552631578899</v>
      </c>
      <c r="S115" s="1" t="str">
        <f t="shared" si="113"/>
        <v>adjusted_rate</v>
      </c>
      <c r="T115" s="1" t="str">
        <f t="shared" ref="T115" si="177">_xlfn.CONCAT("['", C112, "' , '", C114, "']")</f>
        <v>['\lambda_{11}' , 'err_{11}']</v>
      </c>
      <c r="U115" s="1" t="str">
        <f t="shared" ref="U115" si="178">_xlfn.CONCAT("{", "}")</f>
        <v>{}</v>
      </c>
    </row>
    <row r="116" spans="1:21" x14ac:dyDescent="0.5">
      <c r="A116" s="1">
        <v>115</v>
      </c>
      <c r="B116" s="1">
        <f>B105+1</f>
        <v>11</v>
      </c>
      <c r="C116" s="1" t="str">
        <f>_xlfn.CONCAT("c_{",Table1[[#This Row],[dm]], "}")</f>
        <v>c_{11}</v>
      </c>
      <c r="D116" s="1" t="str">
        <f>_xlfn.CONCAT("c_tas_", Table1[[#This Row],[dm]])</f>
        <v>c_tas_11</v>
      </c>
      <c r="E116" s="1" t="str">
        <f t="shared" si="111"/>
        <v>CUSTOM</v>
      </c>
      <c r="F116" s="1" t="str">
        <f>_xlfn.CONCAT("TAS ", Table1[[#This Row],[dm]], " resourses")</f>
        <v>TAS 11 resourses</v>
      </c>
      <c r="G116" s="1" t="str">
        <f>_xlfn.CONCAT("Number of resources allocated in TAS ",Table1[[#This Row],[dm]])</f>
        <v>Number of resources allocated in TAS 11</v>
      </c>
      <c r="H116" s="1" t="b">
        <f t="shared" ref="H116:K116" si="179">H105</f>
        <v>1</v>
      </c>
      <c r="I116" s="1" t="str">
        <f t="shared" si="179"/>
        <v>IN</v>
      </c>
      <c r="J116" s="1" t="str">
        <f t="shared" si="179"/>
        <v>E</v>
      </c>
      <c r="K116" s="1" t="str">
        <f t="shared" si="179"/>
        <v>req</v>
      </c>
      <c r="L116" s="1">
        <v>1</v>
      </c>
      <c r="M116" s="1">
        <f>Table1[[#This Row],[_min]]+2</f>
        <v>3</v>
      </c>
      <c r="N116" s="1">
        <f>AVERAGE(Table1[[#This Row],[_min]:[_max]])</f>
        <v>2</v>
      </c>
      <c r="O116" s="1" t="str">
        <f>Table1[[#This Row],[_units]]</f>
        <v>req</v>
      </c>
      <c r="P116" s="1">
        <f>Table1[[#This Row],[_min]]</f>
        <v>1</v>
      </c>
      <c r="Q116" s="1">
        <f>Table1[[#This Row],[_max]]</f>
        <v>3</v>
      </c>
      <c r="R116" s="1">
        <f>Table1[[#This Row],[_mean]]</f>
        <v>2</v>
      </c>
      <c r="S116" s="1" t="str">
        <f t="shared" si="113"/>
        <v>uniform_int</v>
      </c>
      <c r="T116" s="1" t="str">
        <f t="shared" si="0"/>
        <v>[]</v>
      </c>
      <c r="U116" s="1" t="str">
        <f>_xlfn.CONCAT("{'low': ", Table1[[#This Row],[_std_min]], ", 'high': ",Table1[[#This Row],[_std_max]],"}")</f>
        <v>{'low': 1, 'high': 3}</v>
      </c>
    </row>
    <row r="117" spans="1:21" x14ac:dyDescent="0.5">
      <c r="A117" s="1">
        <v>116</v>
      </c>
      <c r="B117" s="1">
        <f t="shared" ref="B117:B144" si="180">B106+1</f>
        <v>11</v>
      </c>
      <c r="C117" s="1" t="str">
        <f>_xlfn.CONCAT("K_{",Table1[[#This Row],[dm]],"}")</f>
        <v>K_{11}</v>
      </c>
      <c r="D117" s="1" t="str">
        <f>_xlfn.CONCAT("K_tas_", Table1[[#This Row],[dm]])</f>
        <v>K_tas_11</v>
      </c>
      <c r="E117" s="1" t="str">
        <f t="shared" si="111"/>
        <v>CUSTOM</v>
      </c>
      <c r="F117" s="1" t="str">
        <f>_xlfn.CONCAT("TAS ", Table1[[#This Row],[dm]], " q-capacity")</f>
        <v>TAS 11 q-capacity</v>
      </c>
      <c r="G117" s="1" t="str">
        <f>_xlfn.CONCAT("Allocated request capacity in TAS ",Table1[[#This Row],[dm]]," memory buffer")</f>
        <v>Allocated request capacity in TAS 11 memory buffer</v>
      </c>
      <c r="H117" s="1" t="b">
        <f t="shared" ref="H117:K117" si="181">H106</f>
        <v>1</v>
      </c>
      <c r="I117" s="1" t="str">
        <f t="shared" si="181"/>
        <v>CTRL</v>
      </c>
      <c r="J117" s="1" t="str">
        <f t="shared" si="181"/>
        <v>E</v>
      </c>
      <c r="K117" s="1" t="str">
        <f t="shared" si="181"/>
        <v>req</v>
      </c>
      <c r="L117" s="1">
        <v>1</v>
      </c>
      <c r="M117" s="1">
        <f>Table1[[#This Row],[_min]]+10</f>
        <v>11</v>
      </c>
      <c r="N117" s="1">
        <f>AVERAGE(Table1[[#This Row],[_min]:[_max]])</f>
        <v>6</v>
      </c>
      <c r="O117" s="1" t="str">
        <f>Table1[[#This Row],[_units]]</f>
        <v>req</v>
      </c>
      <c r="P117" s="1">
        <f>Table1[[#This Row],[_min]]</f>
        <v>1</v>
      </c>
      <c r="Q117" s="1">
        <f>Table1[[#This Row],[_max]]</f>
        <v>11</v>
      </c>
      <c r="R117" s="1">
        <f>Table1[[#This Row],[_mean]]</f>
        <v>6</v>
      </c>
      <c r="S117" s="1" t="str">
        <f t="shared" si="113"/>
        <v>shifted_uniform_int</v>
      </c>
      <c r="T117" s="1" t="str">
        <f t="shared" ref="T117" si="182">_xlfn.CONCAT("['", C116, "']")</f>
        <v>['c_{11}']</v>
      </c>
      <c r="U117" s="1" t="str">
        <f>_xlfn.CONCAT("{'low': ", Table1[[#This Row],[_std_min]], ", 'high': ",Table1[[#This Row],[_std_max]],"}")</f>
        <v>{'low': 1, 'high': 11}</v>
      </c>
    </row>
    <row r="118" spans="1:21" x14ac:dyDescent="0.5">
      <c r="A118" s="1">
        <v>117</v>
      </c>
      <c r="B118" s="1">
        <f t="shared" si="180"/>
        <v>11</v>
      </c>
      <c r="C118" s="1" t="str">
        <f>_xlfn.CONCAT("\delta_{", Table1[[#This Row],[dm]],"}")</f>
        <v>\delta_{11}</v>
      </c>
      <c r="D118" s="1" t="str">
        <f>_xlfn.CONCAT("delta_tas_", Table1[[#This Row],[dm]])</f>
        <v>delta_tas_11</v>
      </c>
      <c r="E118" s="1" t="str">
        <f t="shared" si="111"/>
        <v>CUSTOM</v>
      </c>
      <c r="F118" s="1" t="str">
        <f>_xlfn.CONCAT("TAS ", Table1[[#This Row],[dm]], " req data density")</f>
        <v>TAS 11 req data density</v>
      </c>
      <c r="G118" s="1" t="str">
        <f>_xlfn.CONCAT("Data density for request in TAS ", Table1[[#This Row],[dm]], " expected data per requests")</f>
        <v>Data density for request in TAS 11 expected data per requests</v>
      </c>
      <c r="H118" s="1" t="b">
        <f t="shared" ref="H118:K118" si="183">H107</f>
        <v>0</v>
      </c>
      <c r="I118" s="1" t="str">
        <f t="shared" si="183"/>
        <v>IN</v>
      </c>
      <c r="J118" s="1" t="str">
        <f t="shared" si="183"/>
        <v>D*E^-1</v>
      </c>
      <c r="K118" s="1" t="str">
        <f t="shared" si="183"/>
        <v>kB/req</v>
      </c>
      <c r="L118" s="1">
        <v>128</v>
      </c>
      <c r="M118" s="1">
        <f>2*1000</f>
        <v>2000</v>
      </c>
      <c r="N118" s="1">
        <f>AVERAGE(Table1[[#This Row],[_min]:[_max]])</f>
        <v>1064</v>
      </c>
      <c r="O118" s="1" t="s">
        <v>11</v>
      </c>
      <c r="P118" s="1">
        <f>Table1[[#This Row],[_min]]*1024000</f>
        <v>131072000</v>
      </c>
      <c r="Q118" s="1">
        <f>Table1[[#This Row],[_max]]*1024000</f>
        <v>2048000000</v>
      </c>
      <c r="R118" s="1">
        <f>Table1[[#This Row],[_mean]]*1024000</f>
        <v>1089536000</v>
      </c>
      <c r="S118" s="1" t="str">
        <f t="shared" si="113"/>
        <v>uniform</v>
      </c>
      <c r="T118" s="1" t="str">
        <f t="shared" si="0"/>
        <v>[]</v>
      </c>
      <c r="U118" s="1" t="str">
        <f>_xlfn.CONCAT("{'low': ", Table1[[#This Row],[_std_min]], ", 'high': ",Table1[[#This Row],[_std_max]],"}")</f>
        <v>{'low': 131072000, 'high': 2048000000}</v>
      </c>
    </row>
    <row r="119" spans="1:21" x14ac:dyDescent="0.5">
      <c r="A119" s="1">
        <v>118</v>
      </c>
      <c r="B119" s="1">
        <f t="shared" si="180"/>
        <v>11</v>
      </c>
      <c r="C119" s="1" t="str">
        <f>_xlfn.CONCAT("L_{",Table1[[#This Row],[dm]], "}")</f>
        <v>L_{11}</v>
      </c>
      <c r="D119" s="1" t="str">
        <f>_xlfn.CONCAT("L_tas_", Table1[[#This Row],[dm]])</f>
        <v>L_tas_11</v>
      </c>
      <c r="E119" s="1" t="str">
        <f t="shared" si="111"/>
        <v>CUSTOM</v>
      </c>
      <c r="F119" s="1" t="str">
        <f>_xlfn.CONCAT("TAS ", Table1[[#This Row],[dm]], " mean processing requests")</f>
        <v>TAS 11 mean processing requests</v>
      </c>
      <c r="G119" s="1" t="str">
        <f>_xlfn.CONCAT("Average number of request in TAS ",Table1[[#This Row],[dm]], " component")</f>
        <v>Average number of request in TAS 11 component</v>
      </c>
      <c r="H119" s="1" t="b">
        <f t="shared" ref="H119:K119" si="184">H108</f>
        <v>1</v>
      </c>
      <c r="I119" s="1" t="str">
        <f t="shared" si="184"/>
        <v>CTRL</v>
      </c>
      <c r="J119" s="1" t="str">
        <f t="shared" si="184"/>
        <v>E</v>
      </c>
      <c r="K119" s="1" t="str">
        <f t="shared" si="184"/>
        <v>req</v>
      </c>
      <c r="L119" s="1">
        <v>1</v>
      </c>
      <c r="M119" s="1">
        <f>Table1[[#This Row],[_min]]+10</f>
        <v>11</v>
      </c>
      <c r="N119" s="1">
        <f>AVERAGE(Table1[[#This Row],[_min]:[_max]])</f>
        <v>6</v>
      </c>
      <c r="O119" s="1" t="str">
        <f>Table1[[#This Row],[_units]]</f>
        <v>req</v>
      </c>
      <c r="P119" s="1">
        <f>Table1[[#This Row],[_min]]</f>
        <v>1</v>
      </c>
      <c r="Q119" s="1">
        <f>Table1[[#This Row],[_max]]</f>
        <v>11</v>
      </c>
      <c r="R119" s="1">
        <f>Table1[[#This Row],[_mean]]</f>
        <v>6</v>
      </c>
      <c r="S119" s="1" t="str">
        <f t="shared" si="113"/>
        <v>queue_length</v>
      </c>
      <c r="T119" s="1" t="str">
        <f t="shared" ref="T119" si="185">_xlfn.CONCAT("['", C112, "' , '", C113, "' , '", C116, "' , '", C117, "']")</f>
        <v>['\lambda_{11}' , '\mu_{11}' , 'c_{11}' , 'K_{11}']</v>
      </c>
      <c r="U119" s="1" t="str">
        <f t="shared" ref="U119:U122" si="186">_xlfn.CONCAT("{", "}")</f>
        <v>{}</v>
      </c>
    </row>
    <row r="120" spans="1:21" x14ac:dyDescent="0.5">
      <c r="A120" s="1">
        <v>119</v>
      </c>
      <c r="B120" s="1">
        <f t="shared" si="180"/>
        <v>11</v>
      </c>
      <c r="C120" s="1" t="str">
        <f>_xlfn.CONCAT("Lq_{",Table1[[#This Row],[dm]], "}")</f>
        <v>Lq_{11}</v>
      </c>
      <c r="D120" s="1" t="str">
        <f>_xlfn.CONCAT("Lq_tas_", Table1[[#This Row],[dm]])</f>
        <v>Lq_tas_11</v>
      </c>
      <c r="E120" s="1" t="str">
        <f t="shared" si="111"/>
        <v>CUSTOM</v>
      </c>
      <c r="F120" s="1" t="str">
        <f>_xlfn.CONCAT("TAS ", Table1[[#This Row],[dm]], " mean in memory requests")</f>
        <v>TAS 11 mean in memory requests</v>
      </c>
      <c r="G120" s="1" t="str">
        <f>_xlfn.CONCAT("Average number of request in TAS ",Table1[[#This Row],[dm]], " memory")</f>
        <v>Average number of request in TAS 11 memory</v>
      </c>
      <c r="H120" s="1" t="b">
        <f t="shared" ref="H120:K120" si="187">H109</f>
        <v>0</v>
      </c>
      <c r="I120" s="1" t="str">
        <f t="shared" si="187"/>
        <v>CTRL</v>
      </c>
      <c r="J120" s="1" t="str">
        <f t="shared" si="187"/>
        <v>E</v>
      </c>
      <c r="K120" s="1" t="str">
        <f t="shared" si="187"/>
        <v>req</v>
      </c>
      <c r="L120" s="1">
        <v>1</v>
      </c>
      <c r="M120" s="1">
        <f>Table1[[#This Row],[_min]]+10</f>
        <v>11</v>
      </c>
      <c r="N120" s="1">
        <f>AVERAGE(Table1[[#This Row],[_min]:[_max]])</f>
        <v>6</v>
      </c>
      <c r="O120" s="1" t="str">
        <f>Table1[[#This Row],[_units]]</f>
        <v>req</v>
      </c>
      <c r="P120" s="1">
        <f>Table1[[#This Row],[_min]]</f>
        <v>1</v>
      </c>
      <c r="Q120" s="1">
        <f>Table1[[#This Row],[_max]]</f>
        <v>11</v>
      </c>
      <c r="R120" s="1">
        <f>Table1[[#This Row],[_mean]]</f>
        <v>6</v>
      </c>
      <c r="S120" s="1" t="str">
        <f t="shared" si="113"/>
        <v>queue_length</v>
      </c>
      <c r="T120" s="1" t="str">
        <f t="shared" ref="T120" si="188">_xlfn.CONCAT("['", C112, "' , '", C113, "' , '", C116, "' , '", C117, "']")</f>
        <v>['\lambda_{11}' , '\mu_{11}' , 'c_{11}' , 'K_{11}']</v>
      </c>
      <c r="U120" s="1" t="str">
        <f t="shared" si="186"/>
        <v>{}</v>
      </c>
    </row>
    <row r="121" spans="1:21" x14ac:dyDescent="0.5">
      <c r="A121" s="1">
        <v>120</v>
      </c>
      <c r="B121" s="1">
        <f t="shared" si="180"/>
        <v>11</v>
      </c>
      <c r="C121" s="1" t="str">
        <f>_xlfn.CONCAT("W_{",Table1[[#This Row],[dm]], "}")</f>
        <v>W_{11}</v>
      </c>
      <c r="D121" s="1" t="str">
        <f>_xlfn.CONCAT("W_tas_", Table1[[#This Row],[dm]])</f>
        <v>W_tas_11</v>
      </c>
      <c r="E121" s="1" t="str">
        <f t="shared" si="111"/>
        <v>CUSTOM</v>
      </c>
      <c r="F121" s="1" t="str">
        <f>_xlfn.CONCAT("TAS ", Table1[[#This Row],[dm]], " mean time to answer")</f>
        <v>TAS 11 mean time to answer</v>
      </c>
      <c r="G121" s="1" t="str">
        <f>_xlfn.CONCAT("Average time to complete a request in TAS ",Table1[[#This Row],[dm]])</f>
        <v>Average time to complete a request in TAS 11</v>
      </c>
      <c r="H121" s="1" t="b">
        <f t="shared" ref="H121:K121" si="189">H110</f>
        <v>1</v>
      </c>
      <c r="I121" s="1" t="str">
        <f t="shared" si="189"/>
        <v>OUT</v>
      </c>
      <c r="J121" s="1" t="str">
        <f t="shared" si="189"/>
        <v>T</v>
      </c>
      <c r="K121" s="1" t="str">
        <f t="shared" si="189"/>
        <v>s</v>
      </c>
      <c r="L121" s="1">
        <v>0</v>
      </c>
      <c r="M121" s="1">
        <v>2.68792294998129E-3</v>
      </c>
      <c r="N121" s="1">
        <v>2.68792294998129E-3</v>
      </c>
      <c r="O121" s="1" t="str">
        <f>Table1[[#This Row],[_units]]</f>
        <v>s</v>
      </c>
      <c r="P121" s="1">
        <f>Table1[[#This Row],[_min]]</f>
        <v>0</v>
      </c>
      <c r="Q121" s="1">
        <f>Table1[[#This Row],[_max]]</f>
        <v>2.68792294998129E-3</v>
      </c>
      <c r="R121" s="1">
        <f>Table1[[#This Row],[_mean]]</f>
        <v>2.68792294998129E-3</v>
      </c>
      <c r="S121" s="1" t="str">
        <f t="shared" si="113"/>
        <v>queue_time</v>
      </c>
      <c r="T121" s="1" t="str">
        <f t="shared" ref="T121" si="190">_xlfn.CONCAT("['", C115, "' , '", C119, "']")</f>
        <v>['\chi_{11}' , 'L_{11}']</v>
      </c>
      <c r="U121" s="1" t="str">
        <f t="shared" si="186"/>
        <v>{}</v>
      </c>
    </row>
    <row r="122" spans="1:21" x14ac:dyDescent="0.5">
      <c r="A122" s="1">
        <v>121</v>
      </c>
      <c r="B122" s="1">
        <f t="shared" si="180"/>
        <v>11</v>
      </c>
      <c r="C122" s="1" t="str">
        <f>_xlfn.CONCAT("Wq_{",Table1[[#This Row],[dm]], "}")</f>
        <v>Wq_{11}</v>
      </c>
      <c r="D122" s="1" t="str">
        <f>_xlfn.CONCAT("Wq_tas_", Table1[[#This Row],[dm]])</f>
        <v>Wq_tas_11</v>
      </c>
      <c r="E122" s="1" t="str">
        <f t="shared" si="111"/>
        <v>CUSTOM</v>
      </c>
      <c r="F122" s="1" t="str">
        <f>_xlfn.CONCAT("TAS ", Table1[[#This Row],[dm]], " mean time in buffer")</f>
        <v>TAS 11 mean time in buffer</v>
      </c>
      <c r="G122" s="1" t="str">
        <f>_xlfn.CONCAT("Average time for a request to transit the buffer in TAS ",Table1[[#This Row],[dm]])</f>
        <v>Average time for a request to transit the buffer in TAS 11</v>
      </c>
      <c r="H122" s="1" t="b">
        <f t="shared" ref="H122:K122" si="191">H111</f>
        <v>0</v>
      </c>
      <c r="I122" s="1" t="str">
        <f t="shared" si="191"/>
        <v>CTRL</v>
      </c>
      <c r="J122" s="1" t="str">
        <f t="shared" si="191"/>
        <v>T</v>
      </c>
      <c r="K122" s="1" t="str">
        <f t="shared" si="191"/>
        <v>s</v>
      </c>
      <c r="L122" s="1">
        <v>0</v>
      </c>
      <c r="M122" s="8">
        <v>8.6974113179947199E-4</v>
      </c>
      <c r="N122" s="8">
        <v>8.6974113179947199E-4</v>
      </c>
      <c r="O122" s="1" t="str">
        <f>Table1[[#This Row],[_units]]</f>
        <v>s</v>
      </c>
      <c r="P122" s="1">
        <f>Table1[[#This Row],[_min]]</f>
        <v>0</v>
      </c>
      <c r="Q122" s="1">
        <f>Table1[[#This Row],[_max]]</f>
        <v>8.6974113179947199E-4</v>
      </c>
      <c r="R122" s="1">
        <f>Table1[[#This Row],[_mean]]</f>
        <v>8.6974113179947199E-4</v>
      </c>
      <c r="S122" s="1" t="str">
        <f t="shared" si="113"/>
        <v>queue_time</v>
      </c>
      <c r="T122" s="1" t="str">
        <f t="shared" ref="T122" si="192">_xlfn.CONCAT("['", C115, "' , '", C120, "']")</f>
        <v>['\chi_{11}' , 'Lq_{11}']</v>
      </c>
      <c r="U122" s="1" t="str">
        <f t="shared" si="186"/>
        <v>{}</v>
      </c>
    </row>
    <row r="123" spans="1:21" x14ac:dyDescent="0.5">
      <c r="A123" s="1">
        <v>122</v>
      </c>
      <c r="B123" s="1">
        <f t="shared" si="180"/>
        <v>12</v>
      </c>
      <c r="C123" s="1" t="str">
        <f>_xlfn.CONCAT("\lambda_{", Table1[[#This Row],[dm]],"}")</f>
        <v>\lambda_{12}</v>
      </c>
      <c r="D123" s="1" t="str">
        <f>_xlfn.CONCAT("lambda_tas_", Table1[[#This Row],[dm]])</f>
        <v>lambda_tas_12</v>
      </c>
      <c r="E123" s="1" t="str">
        <f t="shared" si="111"/>
        <v>CUSTOM</v>
      </c>
      <c r="F123" s="1" t="str">
        <f>_xlfn.CONCAT("TAS ", Table1[[#This Row],[dm]], " arrival rate")</f>
        <v>TAS 12 arrival rate</v>
      </c>
      <c r="G123" s="1" t="str">
        <f>_xlfn.CONCAT("Arrival rate for TAS ",Table1[[#This Row],[dm]])</f>
        <v>Arrival rate for TAS 12</v>
      </c>
      <c r="H123" s="1" t="b">
        <f t="shared" ref="H123:K123" si="193">H112</f>
        <v>1</v>
      </c>
      <c r="I123" s="1" t="str">
        <f t="shared" si="193"/>
        <v>IN</v>
      </c>
      <c r="J123" s="1" t="str">
        <f t="shared" si="193"/>
        <v>E*T^-1</v>
      </c>
      <c r="K123" s="1" t="str">
        <f t="shared" si="193"/>
        <v>req/s</v>
      </c>
      <c r="L123" s="1">
        <f>0.1*171.6117975</f>
        <v>17.161179749999999</v>
      </c>
      <c r="M123" s="7">
        <f>1.9*171.6117975</f>
        <v>326.06241524999996</v>
      </c>
      <c r="N123" s="8">
        <f>AVERAGE(Table1[[#This Row],[_min]:[_max]])</f>
        <v>171.61179749999997</v>
      </c>
      <c r="O123" s="1" t="str">
        <f>Table1[[#This Row],[_units]]</f>
        <v>req/s</v>
      </c>
      <c r="P123" s="1">
        <f>Table1[[#This Row],[_min]]</f>
        <v>17.161179749999999</v>
      </c>
      <c r="Q123" s="1">
        <f>Table1[[#This Row],[_max]]</f>
        <v>326.06241524999996</v>
      </c>
      <c r="R123" s="1">
        <f>Table1[[#This Row],[_mean]]</f>
        <v>171.61179749999997</v>
      </c>
      <c r="S123" s="1" t="str">
        <f t="shared" si="113"/>
        <v>uniform</v>
      </c>
      <c r="T123" s="1" t="str">
        <f t="shared" si="0"/>
        <v>[]</v>
      </c>
      <c r="U123" s="1" t="str">
        <f>_xlfn.CONCAT("{'low': ", Table1[[#This Row],[_std_min]], ", 'high': ",Table1[[#This Row],[_std_max]],"}")</f>
        <v>{'low': 17.16117975, 'high': 326.06241525}</v>
      </c>
    </row>
    <row r="124" spans="1:21" x14ac:dyDescent="0.5">
      <c r="A124" s="1">
        <v>123</v>
      </c>
      <c r="B124" s="1">
        <f t="shared" si="180"/>
        <v>12</v>
      </c>
      <c r="C124" s="1" t="str">
        <f>_xlfn.CONCAT("\mu_{",Table1[[#This Row],[dm]], "}")</f>
        <v>\mu_{12}</v>
      </c>
      <c r="D124" s="1" t="str">
        <f>_xlfn.CONCAT("mu_tas_", Table1[[#This Row],[dm]])</f>
        <v>mu_tas_12</v>
      </c>
      <c r="E124" s="1" t="str">
        <f t="shared" si="111"/>
        <v>CUSTOM</v>
      </c>
      <c r="F124" s="1" t="str">
        <f>_xlfn.CONCAT("TAS ", Table1[[#This Row],[dm]], " service rate")</f>
        <v>TAS 12 service rate</v>
      </c>
      <c r="G124" s="1" t="str">
        <f>_xlfn.CONCAT("Service rate for TAS ",Table1[[#This Row],[dm]])</f>
        <v>Service rate for TAS 12</v>
      </c>
      <c r="H124" s="1" t="b">
        <f t="shared" ref="H124:K124" si="194">H113</f>
        <v>1</v>
      </c>
      <c r="I124" s="1" t="str">
        <f t="shared" si="194"/>
        <v>CTRL</v>
      </c>
      <c r="J124" s="1" t="str">
        <f t="shared" si="194"/>
        <v>E*T^-1</v>
      </c>
      <c r="K124" s="1" t="str">
        <f t="shared" si="194"/>
        <v>req/s</v>
      </c>
      <c r="L124" s="1">
        <f>0.1*700</f>
        <v>70</v>
      </c>
      <c r="M124" s="5">
        <f>1.9*700</f>
        <v>1330</v>
      </c>
      <c r="N124" s="4">
        <f>AVERAGE(Table1[[#This Row],[_min]:[_max]])</f>
        <v>700</v>
      </c>
      <c r="O124" s="1" t="str">
        <f>Table1[[#This Row],[_units]]</f>
        <v>req/s</v>
      </c>
      <c r="P124" s="1">
        <f>Table1[[#This Row],[_min]]</f>
        <v>70</v>
      </c>
      <c r="Q124" s="1">
        <f>Table1[[#This Row],[_max]]</f>
        <v>1330</v>
      </c>
      <c r="R124" s="1">
        <f>Table1[[#This Row],[_mean]]</f>
        <v>700</v>
      </c>
      <c r="S124" s="1" t="str">
        <f t="shared" si="113"/>
        <v>uniform</v>
      </c>
      <c r="T124" s="1" t="str">
        <f t="shared" si="0"/>
        <v>[]</v>
      </c>
      <c r="U124" s="1" t="str">
        <f>_xlfn.CONCAT("{'low': ", Table1[[#This Row],[_std_min]], ", 'high': ",Table1[[#This Row],[_std_max]],"}")</f>
        <v>{'low': 70, 'high': 1330}</v>
      </c>
    </row>
    <row r="125" spans="1:21" x14ac:dyDescent="0.5">
      <c r="A125" s="1">
        <v>124</v>
      </c>
      <c r="B125" s="1">
        <f t="shared" si="180"/>
        <v>12</v>
      </c>
      <c r="C125" s="1" t="str">
        <f>_xlfn.CONCAT("err_{",Table1[[#This Row],[dm]], "}")</f>
        <v>err_{12}</v>
      </c>
      <c r="D125" s="1" t="str">
        <f>_xlfn.CONCAT("err_tas_", Table1[[#This Row],[dm]])</f>
        <v>err_tas_12</v>
      </c>
      <c r="E125" s="1" t="str">
        <f t="shared" si="111"/>
        <v>CUSTOM</v>
      </c>
      <c r="F125" s="1" t="str">
        <f>_xlfn.CONCAT("TAS ", Table1[[#This Row],[dm]], " error probability")</f>
        <v>TAS 12 error probability</v>
      </c>
      <c r="G125" s="1" t="str">
        <f>_xlfn.CONCAT("Service error probability for TAS ",Table1[[#This Row],[dm]])</f>
        <v>Service error probability for TAS 12</v>
      </c>
      <c r="H125" s="1" t="b">
        <f t="shared" ref="H125:K125" si="195">H114</f>
        <v>0</v>
      </c>
      <c r="I125" s="1" t="str">
        <f t="shared" si="195"/>
        <v>CTRL</v>
      </c>
      <c r="J125" s="1" t="str">
        <f t="shared" si="195"/>
        <v>E*T^-1</v>
      </c>
      <c r="K125" s="1" t="str">
        <f t="shared" si="195"/>
        <v>n.a.</v>
      </c>
      <c r="L125" s="3">
        <v>0</v>
      </c>
      <c r="M125" s="3">
        <v>0</v>
      </c>
      <c r="N125" s="3">
        <v>0</v>
      </c>
      <c r="O125" s="1" t="str">
        <f>Table1[[#This Row],[_units]]</f>
        <v>n.a.</v>
      </c>
      <c r="P125" s="2">
        <f>Table1[[#This Row],[_min]]</f>
        <v>0</v>
      </c>
      <c r="Q125" s="2">
        <f>Table1[[#This Row],[_max]]</f>
        <v>0</v>
      </c>
      <c r="R125" s="2">
        <f>Table1[[#This Row],[_mean]]</f>
        <v>0</v>
      </c>
      <c r="S125" s="1" t="str">
        <f t="shared" si="113"/>
        <v>adjusted_uniform</v>
      </c>
      <c r="T125" s="1" t="str">
        <f t="shared" si="0"/>
        <v>[]</v>
      </c>
      <c r="U125" s="1" t="str">
        <f>_xlfn.CONCAT("{'constant': ",Table1[[#This Row],[_std_max]],"}")</f>
        <v>{'constant': 0}</v>
      </c>
    </row>
    <row r="126" spans="1:21" x14ac:dyDescent="0.5">
      <c r="A126" s="1">
        <v>125</v>
      </c>
      <c r="B126" s="1">
        <f t="shared" si="180"/>
        <v>12</v>
      </c>
      <c r="C126" s="1" t="str">
        <f>_xlfn.CONCAT("\chi_{",Table1[[#This Row],[dm]], "}")</f>
        <v>\chi_{12}</v>
      </c>
      <c r="D126" s="1" t="str">
        <f>_xlfn.CONCAT("chi_tas_", Table1[[#This Row],[dm]])</f>
        <v>chi_tas_12</v>
      </c>
      <c r="E126" s="1" t="str">
        <f t="shared" si="111"/>
        <v>CUSTOM</v>
      </c>
      <c r="F126" s="1" t="str">
        <f>_xlfn.CONCAT("TAS ", Table1[[#This Row],[dm]], " departure rate")</f>
        <v>TAS 12 departure rate</v>
      </c>
      <c r="G126" s="1" t="str">
        <f>_xlfn.CONCAT("Departure rate for TAS ",Table1[[#This Row],[dm]])</f>
        <v>Departure rate for TAS 12</v>
      </c>
      <c r="H126" s="1" t="b">
        <f t="shared" ref="H126:K126" si="196">H115</f>
        <v>1</v>
      </c>
      <c r="I126" s="1" t="str">
        <f t="shared" si="196"/>
        <v>CTRL</v>
      </c>
      <c r="J126" s="1" t="str">
        <f t="shared" si="196"/>
        <v>E*T^-1</v>
      </c>
      <c r="K126" s="1" t="str">
        <f t="shared" si="196"/>
        <v>req/s</v>
      </c>
      <c r="L126" s="1">
        <f>0.1*171.6117975</f>
        <v>17.161179749999999</v>
      </c>
      <c r="M126" s="7">
        <f>1.9*171.6117975</f>
        <v>326.06241524999996</v>
      </c>
      <c r="N126" s="6">
        <f>AVERAGE(Table1[[#This Row],[_min]:[_max]])</f>
        <v>171.61179749999997</v>
      </c>
      <c r="O126" s="1" t="str">
        <f>Table1[[#This Row],[_units]]</f>
        <v>req/s</v>
      </c>
      <c r="P126" s="1">
        <f>Table1[[#This Row],[_min]]</f>
        <v>17.161179749999999</v>
      </c>
      <c r="Q126" s="1">
        <f>Table1[[#This Row],[_max]]</f>
        <v>326.06241524999996</v>
      </c>
      <c r="R126" s="1">
        <f>Table1[[#This Row],[_mean]]</f>
        <v>171.61179749999997</v>
      </c>
      <c r="S126" s="1" t="str">
        <f t="shared" si="113"/>
        <v>adjusted_rate</v>
      </c>
      <c r="T126" s="1" t="str">
        <f t="shared" ref="T126" si="197">_xlfn.CONCAT("['", C123, "' , '", C125, "']")</f>
        <v>['\lambda_{12}' , 'err_{12}']</v>
      </c>
      <c r="U126" s="1" t="str">
        <f t="shared" ref="U126" si="198">_xlfn.CONCAT("{", "}")</f>
        <v>{}</v>
      </c>
    </row>
    <row r="127" spans="1:21" x14ac:dyDescent="0.5">
      <c r="A127" s="1">
        <v>126</v>
      </c>
      <c r="B127" s="1">
        <f t="shared" si="180"/>
        <v>12</v>
      </c>
      <c r="C127" s="1" t="str">
        <f>_xlfn.CONCAT("c_{",Table1[[#This Row],[dm]], "}")</f>
        <v>c_{12}</v>
      </c>
      <c r="D127" s="1" t="str">
        <f>_xlfn.CONCAT("c_tas_", Table1[[#This Row],[dm]])</f>
        <v>c_tas_12</v>
      </c>
      <c r="E127" s="1" t="str">
        <f t="shared" si="111"/>
        <v>CUSTOM</v>
      </c>
      <c r="F127" s="1" t="str">
        <f>_xlfn.CONCAT("TAS ", Table1[[#This Row],[dm]], " resourses")</f>
        <v>TAS 12 resourses</v>
      </c>
      <c r="G127" s="1" t="str">
        <f>_xlfn.CONCAT("Number of resources allocated in TAS ",Table1[[#This Row],[dm]])</f>
        <v>Number of resources allocated in TAS 12</v>
      </c>
      <c r="H127" s="1" t="b">
        <f t="shared" ref="H127:K127" si="199">H116</f>
        <v>1</v>
      </c>
      <c r="I127" s="1" t="str">
        <f t="shared" si="199"/>
        <v>IN</v>
      </c>
      <c r="J127" s="1" t="str">
        <f t="shared" si="199"/>
        <v>E</v>
      </c>
      <c r="K127" s="1" t="str">
        <f t="shared" si="199"/>
        <v>req</v>
      </c>
      <c r="L127" s="1">
        <v>1</v>
      </c>
      <c r="M127" s="1">
        <f>Table1[[#This Row],[_min]]+2</f>
        <v>3</v>
      </c>
      <c r="N127" s="1">
        <f>AVERAGE(Table1[[#This Row],[_min]:[_max]])</f>
        <v>2</v>
      </c>
      <c r="O127" s="1" t="str">
        <f>Table1[[#This Row],[_units]]</f>
        <v>req</v>
      </c>
      <c r="P127" s="1">
        <f>Table1[[#This Row],[_min]]</f>
        <v>1</v>
      </c>
      <c r="Q127" s="1">
        <f>Table1[[#This Row],[_max]]</f>
        <v>3</v>
      </c>
      <c r="R127" s="1">
        <f>Table1[[#This Row],[_mean]]</f>
        <v>2</v>
      </c>
      <c r="S127" s="1" t="str">
        <f t="shared" si="113"/>
        <v>uniform_int</v>
      </c>
      <c r="T127" s="1" t="str">
        <f t="shared" si="0"/>
        <v>[]</v>
      </c>
      <c r="U127" s="1" t="str">
        <f>_xlfn.CONCAT("{'low': ", Table1[[#This Row],[_std_min]], ", 'high': ",Table1[[#This Row],[_std_max]],"}")</f>
        <v>{'low': 1, 'high': 3}</v>
      </c>
    </row>
    <row r="128" spans="1:21" x14ac:dyDescent="0.5">
      <c r="A128" s="1">
        <v>127</v>
      </c>
      <c r="B128" s="1">
        <f t="shared" si="180"/>
        <v>12</v>
      </c>
      <c r="C128" s="1" t="str">
        <f>_xlfn.CONCAT("K_{",Table1[[#This Row],[dm]],"}")</f>
        <v>K_{12}</v>
      </c>
      <c r="D128" s="1" t="str">
        <f>_xlfn.CONCAT("K_tas_", Table1[[#This Row],[dm]])</f>
        <v>K_tas_12</v>
      </c>
      <c r="E128" s="1" t="str">
        <f t="shared" si="111"/>
        <v>CUSTOM</v>
      </c>
      <c r="F128" s="1" t="str">
        <f>_xlfn.CONCAT("TAS ", Table1[[#This Row],[dm]], " q-capacity")</f>
        <v>TAS 12 q-capacity</v>
      </c>
      <c r="G128" s="1" t="str">
        <f>_xlfn.CONCAT("Allocated request capacity in TAS ",Table1[[#This Row],[dm]]," memory buffer")</f>
        <v>Allocated request capacity in TAS 12 memory buffer</v>
      </c>
      <c r="H128" s="1" t="b">
        <f t="shared" ref="H128:K128" si="200">H117</f>
        <v>1</v>
      </c>
      <c r="I128" s="1" t="str">
        <f t="shared" si="200"/>
        <v>CTRL</v>
      </c>
      <c r="J128" s="1" t="str">
        <f t="shared" si="200"/>
        <v>E</v>
      </c>
      <c r="K128" s="1" t="str">
        <f t="shared" si="200"/>
        <v>req</v>
      </c>
      <c r="L128" s="1">
        <v>1</v>
      </c>
      <c r="M128" s="1">
        <f>Table1[[#This Row],[_min]]+10</f>
        <v>11</v>
      </c>
      <c r="N128" s="1">
        <f>AVERAGE(Table1[[#This Row],[_min]:[_max]])</f>
        <v>6</v>
      </c>
      <c r="O128" s="1" t="str">
        <f>Table1[[#This Row],[_units]]</f>
        <v>req</v>
      </c>
      <c r="P128" s="1">
        <f>Table1[[#This Row],[_min]]</f>
        <v>1</v>
      </c>
      <c r="Q128" s="1">
        <f>Table1[[#This Row],[_max]]</f>
        <v>11</v>
      </c>
      <c r="R128" s="1">
        <f>Table1[[#This Row],[_mean]]</f>
        <v>6</v>
      </c>
      <c r="S128" s="1" t="str">
        <f t="shared" si="113"/>
        <v>shifted_uniform_int</v>
      </c>
      <c r="T128" s="1" t="str">
        <f t="shared" ref="T128" si="201">_xlfn.CONCAT("['", C127, "']")</f>
        <v>['c_{12}']</v>
      </c>
      <c r="U128" s="1" t="str">
        <f>_xlfn.CONCAT("{'low': ", Table1[[#This Row],[_std_min]], ", 'high': ",Table1[[#This Row],[_std_max]],"}")</f>
        <v>{'low': 1, 'high': 11}</v>
      </c>
    </row>
    <row r="129" spans="1:21" x14ac:dyDescent="0.5">
      <c r="A129" s="1">
        <v>128</v>
      </c>
      <c r="B129" s="1">
        <f t="shared" si="180"/>
        <v>12</v>
      </c>
      <c r="C129" s="1" t="str">
        <f>_xlfn.CONCAT("\delta_{", Table1[[#This Row],[dm]],"}")</f>
        <v>\delta_{12}</v>
      </c>
      <c r="D129" s="1" t="str">
        <f>_xlfn.CONCAT("delta_tas_", Table1[[#This Row],[dm]])</f>
        <v>delta_tas_12</v>
      </c>
      <c r="E129" s="1" t="str">
        <f t="shared" si="111"/>
        <v>CUSTOM</v>
      </c>
      <c r="F129" s="1" t="str">
        <f>_xlfn.CONCAT("TAS ", Table1[[#This Row],[dm]], " req data density")</f>
        <v>TAS 12 req data density</v>
      </c>
      <c r="G129" s="1" t="str">
        <f>_xlfn.CONCAT("Data density for request in TAS ", Table1[[#This Row],[dm]], " expected data per requests")</f>
        <v>Data density for request in TAS 12 expected data per requests</v>
      </c>
      <c r="H129" s="1" t="b">
        <f t="shared" ref="H129:K129" si="202">H118</f>
        <v>0</v>
      </c>
      <c r="I129" s="1" t="str">
        <f t="shared" si="202"/>
        <v>IN</v>
      </c>
      <c r="J129" s="1" t="str">
        <f t="shared" si="202"/>
        <v>D*E^-1</v>
      </c>
      <c r="K129" s="1" t="str">
        <f t="shared" si="202"/>
        <v>kB/req</v>
      </c>
      <c r="L129" s="1">
        <v>128</v>
      </c>
      <c r="M129" s="1">
        <f>2*1000</f>
        <v>2000</v>
      </c>
      <c r="N129" s="1">
        <f>AVERAGE(Table1[[#This Row],[_min]:[_max]])</f>
        <v>1064</v>
      </c>
      <c r="O129" s="1" t="s">
        <v>11</v>
      </c>
      <c r="P129" s="1">
        <f>Table1[[#This Row],[_min]]*1024000</f>
        <v>131072000</v>
      </c>
      <c r="Q129" s="1">
        <f>Table1[[#This Row],[_max]]*1024000</f>
        <v>2048000000</v>
      </c>
      <c r="R129" s="1">
        <f>Table1[[#This Row],[_mean]]*1024000</f>
        <v>1089536000</v>
      </c>
      <c r="S129" s="1" t="str">
        <f t="shared" si="113"/>
        <v>uniform</v>
      </c>
      <c r="T129" s="1" t="str">
        <f t="shared" si="0"/>
        <v>[]</v>
      </c>
      <c r="U129" s="1" t="str">
        <f>_xlfn.CONCAT("{'low': ", Table1[[#This Row],[_std_min]], ", 'high': ",Table1[[#This Row],[_std_max]],"}")</f>
        <v>{'low': 131072000, 'high': 2048000000}</v>
      </c>
    </row>
    <row r="130" spans="1:21" x14ac:dyDescent="0.5">
      <c r="A130" s="1">
        <v>129</v>
      </c>
      <c r="B130" s="1">
        <f t="shared" si="180"/>
        <v>12</v>
      </c>
      <c r="C130" s="1" t="str">
        <f>_xlfn.CONCAT("L_{",Table1[[#This Row],[dm]], "}")</f>
        <v>L_{12}</v>
      </c>
      <c r="D130" s="1" t="str">
        <f>_xlfn.CONCAT("L_tas_", Table1[[#This Row],[dm]])</f>
        <v>L_tas_12</v>
      </c>
      <c r="E130" s="1" t="str">
        <f t="shared" si="111"/>
        <v>CUSTOM</v>
      </c>
      <c r="F130" s="1" t="str">
        <f>_xlfn.CONCAT("TAS ", Table1[[#This Row],[dm]], " mean processing requests")</f>
        <v>TAS 12 mean processing requests</v>
      </c>
      <c r="G130" s="1" t="str">
        <f>_xlfn.CONCAT("Average number of request in TAS ",Table1[[#This Row],[dm]], " component")</f>
        <v>Average number of request in TAS 12 component</v>
      </c>
      <c r="H130" s="1" t="b">
        <f t="shared" ref="H130:K130" si="203">H119</f>
        <v>1</v>
      </c>
      <c r="I130" s="1" t="str">
        <f t="shared" si="203"/>
        <v>CTRL</v>
      </c>
      <c r="J130" s="1" t="str">
        <f t="shared" si="203"/>
        <v>E</v>
      </c>
      <c r="K130" s="1" t="str">
        <f t="shared" si="203"/>
        <v>req</v>
      </c>
      <c r="L130" s="1">
        <v>1</v>
      </c>
      <c r="M130" s="1">
        <f>Table1[[#This Row],[_min]]+10</f>
        <v>11</v>
      </c>
      <c r="N130" s="1">
        <f>AVERAGE(Table1[[#This Row],[_min]:[_max]])</f>
        <v>6</v>
      </c>
      <c r="O130" s="1" t="str">
        <f>Table1[[#This Row],[_units]]</f>
        <v>req</v>
      </c>
      <c r="P130" s="1">
        <f>Table1[[#This Row],[_min]]</f>
        <v>1</v>
      </c>
      <c r="Q130" s="1">
        <f>Table1[[#This Row],[_max]]</f>
        <v>11</v>
      </c>
      <c r="R130" s="1">
        <f>Table1[[#This Row],[_mean]]</f>
        <v>6</v>
      </c>
      <c r="S130" s="1" t="str">
        <f t="shared" si="113"/>
        <v>queue_length</v>
      </c>
      <c r="T130" s="1" t="str">
        <f t="shared" ref="T130" si="204">_xlfn.CONCAT("['", C123, "' , '", C124, "' , '", C127, "' , '", C128, "']")</f>
        <v>['\lambda_{12}' , '\mu_{12}' , 'c_{12}' , 'K_{12}']</v>
      </c>
      <c r="U130" s="1" t="str">
        <f t="shared" ref="U130:U133" si="205">_xlfn.CONCAT("{", "}")</f>
        <v>{}</v>
      </c>
    </row>
    <row r="131" spans="1:21" x14ac:dyDescent="0.5">
      <c r="A131" s="1">
        <v>130</v>
      </c>
      <c r="B131" s="1">
        <f t="shared" si="180"/>
        <v>12</v>
      </c>
      <c r="C131" s="1" t="str">
        <f>_xlfn.CONCAT("Lq_{",Table1[[#This Row],[dm]], "}")</f>
        <v>Lq_{12}</v>
      </c>
      <c r="D131" s="1" t="str">
        <f>_xlfn.CONCAT("Lq_tas_", Table1[[#This Row],[dm]])</f>
        <v>Lq_tas_12</v>
      </c>
      <c r="E131" s="1" t="str">
        <f t="shared" si="111"/>
        <v>CUSTOM</v>
      </c>
      <c r="F131" s="1" t="str">
        <f>_xlfn.CONCAT("TAS ", Table1[[#This Row],[dm]], " mean in memory requests")</f>
        <v>TAS 12 mean in memory requests</v>
      </c>
      <c r="G131" s="1" t="str">
        <f>_xlfn.CONCAT("Average number of request in TAS ",Table1[[#This Row],[dm]], " memory")</f>
        <v>Average number of request in TAS 12 memory</v>
      </c>
      <c r="H131" s="1" t="b">
        <f t="shared" ref="H131:K131" si="206">H120</f>
        <v>0</v>
      </c>
      <c r="I131" s="1" t="str">
        <f t="shared" si="206"/>
        <v>CTRL</v>
      </c>
      <c r="J131" s="1" t="str">
        <f t="shared" si="206"/>
        <v>E</v>
      </c>
      <c r="K131" s="1" t="str">
        <f t="shared" si="206"/>
        <v>req</v>
      </c>
      <c r="L131" s="1">
        <v>1</v>
      </c>
      <c r="M131" s="1">
        <f>Table1[[#This Row],[_min]]+10</f>
        <v>11</v>
      </c>
      <c r="N131" s="1">
        <f>AVERAGE(Table1[[#This Row],[_min]:[_max]])</f>
        <v>6</v>
      </c>
      <c r="O131" s="1" t="str">
        <f>Table1[[#This Row],[_units]]</f>
        <v>req</v>
      </c>
      <c r="P131" s="1">
        <f>Table1[[#This Row],[_min]]</f>
        <v>1</v>
      </c>
      <c r="Q131" s="1">
        <f>Table1[[#This Row],[_max]]</f>
        <v>11</v>
      </c>
      <c r="R131" s="1">
        <f>Table1[[#This Row],[_mean]]</f>
        <v>6</v>
      </c>
      <c r="S131" s="1" t="str">
        <f t="shared" si="113"/>
        <v>queue_length</v>
      </c>
      <c r="T131" s="1" t="str">
        <f t="shared" ref="T131" si="207">_xlfn.CONCAT("['", C123, "' , '", C124, "' , '", C127, "' , '", C128, "']")</f>
        <v>['\lambda_{12}' , '\mu_{12}' , 'c_{12}' , 'K_{12}']</v>
      </c>
      <c r="U131" s="1" t="str">
        <f t="shared" si="205"/>
        <v>{}</v>
      </c>
    </row>
    <row r="132" spans="1:21" x14ac:dyDescent="0.5">
      <c r="A132" s="1">
        <v>131</v>
      </c>
      <c r="B132" s="1">
        <f t="shared" si="180"/>
        <v>12</v>
      </c>
      <c r="C132" s="1" t="str">
        <f>_xlfn.CONCAT("W_{",Table1[[#This Row],[dm]], "}")</f>
        <v>W_{12}</v>
      </c>
      <c r="D132" s="1" t="str">
        <f>_xlfn.CONCAT("W_tas_", Table1[[#This Row],[dm]])</f>
        <v>W_tas_12</v>
      </c>
      <c r="E132" s="1" t="str">
        <f t="shared" si="111"/>
        <v>CUSTOM</v>
      </c>
      <c r="F132" s="1" t="str">
        <f>_xlfn.CONCAT("TAS ", Table1[[#This Row],[dm]], " mean time to answer")</f>
        <v>TAS 12 mean time to answer</v>
      </c>
      <c r="G132" s="1" t="str">
        <f>_xlfn.CONCAT("Average time to complete a request in TAS ",Table1[[#This Row],[dm]])</f>
        <v>Average time to complete a request in TAS 12</v>
      </c>
      <c r="H132" s="1" t="b">
        <f t="shared" ref="H132:K132" si="208">H121</f>
        <v>1</v>
      </c>
      <c r="I132" s="1" t="str">
        <f t="shared" si="208"/>
        <v>OUT</v>
      </c>
      <c r="J132" s="1" t="str">
        <f t="shared" si="208"/>
        <v>T</v>
      </c>
      <c r="K132" s="1" t="str">
        <f t="shared" si="208"/>
        <v>s</v>
      </c>
      <c r="L132" s="1">
        <v>0</v>
      </c>
      <c r="M132" s="8">
        <v>1.89254793212382E-3</v>
      </c>
      <c r="N132" s="8">
        <v>1.89254793212382E-3</v>
      </c>
      <c r="O132" s="1" t="str">
        <f>Table1[[#This Row],[_units]]</f>
        <v>s</v>
      </c>
      <c r="P132" s="1">
        <f>Table1[[#This Row],[_min]]</f>
        <v>0</v>
      </c>
      <c r="Q132" s="1">
        <f>Table1[[#This Row],[_max]]</f>
        <v>1.89254793212382E-3</v>
      </c>
      <c r="R132" s="1">
        <f>Table1[[#This Row],[_mean]]</f>
        <v>1.89254793212382E-3</v>
      </c>
      <c r="S132" s="1" t="str">
        <f t="shared" si="113"/>
        <v>queue_time</v>
      </c>
      <c r="T132" s="1" t="str">
        <f t="shared" ref="T132" si="209">_xlfn.CONCAT("['", C126, "' , '", C130, "']")</f>
        <v>['\chi_{12}' , 'L_{12}']</v>
      </c>
      <c r="U132" s="1" t="str">
        <f t="shared" si="205"/>
        <v>{}</v>
      </c>
    </row>
    <row r="133" spans="1:21" x14ac:dyDescent="0.5">
      <c r="A133" s="1">
        <v>132</v>
      </c>
      <c r="B133" s="1">
        <f t="shared" si="180"/>
        <v>12</v>
      </c>
      <c r="C133" s="1" t="str">
        <f>_xlfn.CONCAT("Wq_{",Table1[[#This Row],[dm]], "}")</f>
        <v>Wq_{12}</v>
      </c>
      <c r="D133" s="1" t="str">
        <f>_xlfn.CONCAT("Wq_tas_", Table1[[#This Row],[dm]])</f>
        <v>Wq_tas_12</v>
      </c>
      <c r="E133" s="1" t="str">
        <f t="shared" si="111"/>
        <v>CUSTOM</v>
      </c>
      <c r="F133" s="1" t="str">
        <f>_xlfn.CONCAT("TAS ", Table1[[#This Row],[dm]], " mean time in buffer")</f>
        <v>TAS 12 mean time in buffer</v>
      </c>
      <c r="G133" s="1" t="str">
        <f>_xlfn.CONCAT("Average time for a request to transit the buffer in TAS ",Table1[[#This Row],[dm]])</f>
        <v>Average time for a request to transit the buffer in TAS 12</v>
      </c>
      <c r="H133" s="1" t="b">
        <f t="shared" ref="H133:K133" si="210">H122</f>
        <v>0</v>
      </c>
      <c r="I133" s="1" t="str">
        <f t="shared" si="210"/>
        <v>CTRL</v>
      </c>
      <c r="J133" s="1" t="str">
        <f t="shared" si="210"/>
        <v>T</v>
      </c>
      <c r="K133" s="1" t="str">
        <f t="shared" si="210"/>
        <v>s</v>
      </c>
      <c r="L133" s="1">
        <v>0</v>
      </c>
      <c r="M133" s="8">
        <v>4.6397650355239602E-4</v>
      </c>
      <c r="N133" s="8">
        <v>4.6397650355239602E-4</v>
      </c>
      <c r="O133" s="1" t="str">
        <f>Table1[[#This Row],[_units]]</f>
        <v>s</v>
      </c>
      <c r="P133" s="1">
        <f>Table1[[#This Row],[_min]]</f>
        <v>0</v>
      </c>
      <c r="Q133" s="1">
        <f>Table1[[#This Row],[_max]]</f>
        <v>4.6397650355239602E-4</v>
      </c>
      <c r="R133" s="1">
        <f>Table1[[#This Row],[_mean]]</f>
        <v>4.6397650355239602E-4</v>
      </c>
      <c r="S133" s="1" t="str">
        <f t="shared" si="113"/>
        <v>queue_time</v>
      </c>
      <c r="T133" s="1" t="str">
        <f t="shared" ref="T133" si="211">_xlfn.CONCAT("['", C126, "' , '", C131, "']")</f>
        <v>['\chi_{12}' , 'Lq_{12}']</v>
      </c>
      <c r="U133" s="1" t="str">
        <f t="shared" si="205"/>
        <v>{}</v>
      </c>
    </row>
    <row r="134" spans="1:21" x14ac:dyDescent="0.5">
      <c r="A134" s="1">
        <v>133</v>
      </c>
      <c r="B134" s="1">
        <f t="shared" si="180"/>
        <v>13</v>
      </c>
      <c r="C134" s="1" t="str">
        <f>_xlfn.CONCAT("\lambda_{", Table1[[#This Row],[dm]],"}")</f>
        <v>\lambda_{13}</v>
      </c>
      <c r="D134" s="1" t="str">
        <f>_xlfn.CONCAT("lambda_tas_", Table1[[#This Row],[dm]])</f>
        <v>lambda_tas_13</v>
      </c>
      <c r="E134" s="1" t="str">
        <f t="shared" si="111"/>
        <v>CUSTOM</v>
      </c>
      <c r="F134" s="1" t="str">
        <f>_xlfn.CONCAT("TAS ", Table1[[#This Row],[dm]], " arrival rate")</f>
        <v>TAS 13 arrival rate</v>
      </c>
      <c r="G134" s="1" t="str">
        <f>_xlfn.CONCAT("Arrival rate for TAS ",Table1[[#This Row],[dm]])</f>
        <v>Arrival rate for TAS 13</v>
      </c>
      <c r="H134" s="1" t="b">
        <f t="shared" ref="H134:K134" si="212">H123</f>
        <v>1</v>
      </c>
      <c r="I134" s="1" t="str">
        <f t="shared" si="212"/>
        <v>IN</v>
      </c>
      <c r="J134" s="1" t="str">
        <f t="shared" si="212"/>
        <v>E*T^-1</v>
      </c>
      <c r="K134" s="1" t="str">
        <f t="shared" si="212"/>
        <v>req/s</v>
      </c>
      <c r="L134" s="1">
        <f>0.1*171.6117975</f>
        <v>17.161179749999999</v>
      </c>
      <c r="M134" s="7">
        <f>1.9*169.067249999999</f>
        <v>321.22777499999808</v>
      </c>
      <c r="N134" s="4">
        <f>AVERAGE(Table1[[#This Row],[_min]:[_max]])</f>
        <v>169.19447737499902</v>
      </c>
      <c r="O134" s="1" t="str">
        <f>Table1[[#This Row],[_units]]</f>
        <v>req/s</v>
      </c>
      <c r="P134" s="1">
        <f>Table1[[#This Row],[_min]]</f>
        <v>17.161179749999999</v>
      </c>
      <c r="Q134" s="1">
        <f>Table1[[#This Row],[_max]]</f>
        <v>321.22777499999808</v>
      </c>
      <c r="R134" s="1">
        <f>Table1[[#This Row],[_mean]]</f>
        <v>169.19447737499902</v>
      </c>
      <c r="S134" s="1" t="str">
        <f t="shared" si="113"/>
        <v>uniform</v>
      </c>
      <c r="T134" s="1" t="str">
        <f t="shared" si="0"/>
        <v>[]</v>
      </c>
      <c r="U134" s="1" t="str">
        <f>_xlfn.CONCAT("{'low': ", Table1[[#This Row],[_std_min]], ", 'high': ",Table1[[#This Row],[_std_max]],"}")</f>
        <v>{'low': 17.16117975, 'high': 321.227774999998}</v>
      </c>
    </row>
    <row r="135" spans="1:21" x14ac:dyDescent="0.5">
      <c r="A135" s="1">
        <v>134</v>
      </c>
      <c r="B135" s="1">
        <f t="shared" si="180"/>
        <v>13</v>
      </c>
      <c r="C135" s="1" t="str">
        <f>_xlfn.CONCAT("\mu_{",Table1[[#This Row],[dm]], "}")</f>
        <v>\mu_{13}</v>
      </c>
      <c r="D135" s="1" t="str">
        <f>_xlfn.CONCAT("mu_tas_", Table1[[#This Row],[dm]])</f>
        <v>mu_tas_13</v>
      </c>
      <c r="E135" s="1" t="str">
        <f t="shared" si="111"/>
        <v>CUSTOM</v>
      </c>
      <c r="F135" s="1" t="str">
        <f>_xlfn.CONCAT("TAS ", Table1[[#This Row],[dm]], " service rate")</f>
        <v>TAS 13 service rate</v>
      </c>
      <c r="G135" s="1" t="str">
        <f>_xlfn.CONCAT("Service rate for TAS ",Table1[[#This Row],[dm]])</f>
        <v>Service rate for TAS 13</v>
      </c>
      <c r="H135" s="1" t="b">
        <f t="shared" ref="H135:K135" si="213">H124</f>
        <v>1</v>
      </c>
      <c r="I135" s="1" t="str">
        <f t="shared" si="213"/>
        <v>CTRL</v>
      </c>
      <c r="J135" s="1" t="str">
        <f t="shared" si="213"/>
        <v>E*T^-1</v>
      </c>
      <c r="K135" s="1" t="str">
        <f t="shared" si="213"/>
        <v>req/s</v>
      </c>
      <c r="L135" s="1">
        <f>0.1*700</f>
        <v>70</v>
      </c>
      <c r="M135" s="5">
        <f>1.9*700</f>
        <v>1330</v>
      </c>
      <c r="N135" s="4">
        <f>AVERAGE(Table1[[#This Row],[_min]:[_max]])</f>
        <v>700</v>
      </c>
      <c r="O135" s="1" t="str">
        <f>Table1[[#This Row],[_units]]</f>
        <v>req/s</v>
      </c>
      <c r="P135" s="1">
        <f>Table1[[#This Row],[_min]]</f>
        <v>70</v>
      </c>
      <c r="Q135" s="1">
        <f>Table1[[#This Row],[_max]]</f>
        <v>1330</v>
      </c>
      <c r="R135" s="1">
        <f>Table1[[#This Row],[_mean]]</f>
        <v>700</v>
      </c>
      <c r="S135" s="1" t="str">
        <f t="shared" si="113"/>
        <v>uniform</v>
      </c>
      <c r="T135" s="1" t="str">
        <f t="shared" si="0"/>
        <v>[]</v>
      </c>
      <c r="U135" s="1" t="str">
        <f>_xlfn.CONCAT("{'low': ", Table1[[#This Row],[_std_min]], ", 'high': ",Table1[[#This Row],[_std_max]],"}")</f>
        <v>{'low': 70, 'high': 1330}</v>
      </c>
    </row>
    <row r="136" spans="1:21" x14ac:dyDescent="0.5">
      <c r="A136" s="1">
        <v>135</v>
      </c>
      <c r="B136" s="1">
        <f t="shared" si="180"/>
        <v>13</v>
      </c>
      <c r="C136" s="1" t="str">
        <f>_xlfn.CONCAT("err_{",Table1[[#This Row],[dm]], "}")</f>
        <v>err_{13}</v>
      </c>
      <c r="D136" s="1" t="str">
        <f>_xlfn.CONCAT("err_tas_", Table1[[#This Row],[dm]])</f>
        <v>err_tas_13</v>
      </c>
      <c r="E136" s="1" t="str">
        <f t="shared" si="111"/>
        <v>CUSTOM</v>
      </c>
      <c r="F136" s="1" t="str">
        <f>_xlfn.CONCAT("TAS ", Table1[[#This Row],[dm]], " error probability")</f>
        <v>TAS 13 error probability</v>
      </c>
      <c r="G136" s="1" t="str">
        <f>_xlfn.CONCAT("Service error probability for TAS ",Table1[[#This Row],[dm]])</f>
        <v>Service error probability for TAS 13</v>
      </c>
      <c r="H136" s="1" t="b">
        <f t="shared" ref="H136:K136" si="214">H125</f>
        <v>0</v>
      </c>
      <c r="I136" s="1" t="str">
        <f t="shared" si="214"/>
        <v>CTRL</v>
      </c>
      <c r="J136" s="1" t="str">
        <f t="shared" si="214"/>
        <v>E*T^-1</v>
      </c>
      <c r="K136" s="1" t="str">
        <f t="shared" si="214"/>
        <v>n.a.</v>
      </c>
      <c r="L136" s="3">
        <v>0</v>
      </c>
      <c r="M136" s="3">
        <v>0</v>
      </c>
      <c r="N136" s="3">
        <v>0</v>
      </c>
      <c r="O136" s="1" t="str">
        <f>Table1[[#This Row],[_units]]</f>
        <v>n.a.</v>
      </c>
      <c r="P136" s="2">
        <f>Table1[[#This Row],[_min]]</f>
        <v>0</v>
      </c>
      <c r="Q136" s="2">
        <f>Table1[[#This Row],[_max]]</f>
        <v>0</v>
      </c>
      <c r="R136" s="2">
        <f>Table1[[#This Row],[_mean]]</f>
        <v>0</v>
      </c>
      <c r="S136" s="1" t="str">
        <f t="shared" si="113"/>
        <v>adjusted_uniform</v>
      </c>
      <c r="T136" s="1" t="str">
        <f t="shared" si="0"/>
        <v>[]</v>
      </c>
      <c r="U136" s="1" t="str">
        <f>_xlfn.CONCAT("{'constant': ",Table1[[#This Row],[_std_max]],"}")</f>
        <v>{'constant': 0}</v>
      </c>
    </row>
    <row r="137" spans="1:21" x14ac:dyDescent="0.5">
      <c r="A137" s="1">
        <v>136</v>
      </c>
      <c r="B137" s="1">
        <f t="shared" si="180"/>
        <v>13</v>
      </c>
      <c r="C137" s="1" t="str">
        <f>_xlfn.CONCAT("\chi_{",Table1[[#This Row],[dm]], "}")</f>
        <v>\chi_{13}</v>
      </c>
      <c r="D137" s="1" t="str">
        <f>_xlfn.CONCAT("chi_tas_", Table1[[#This Row],[dm]])</f>
        <v>chi_tas_13</v>
      </c>
      <c r="E137" s="1" t="str">
        <f t="shared" si="111"/>
        <v>CUSTOM</v>
      </c>
      <c r="F137" s="1" t="str">
        <f>_xlfn.CONCAT("TAS ", Table1[[#This Row],[dm]], " departure rate")</f>
        <v>TAS 13 departure rate</v>
      </c>
      <c r="G137" s="1" t="str">
        <f>_xlfn.CONCAT("Departure rate for TAS ",Table1[[#This Row],[dm]])</f>
        <v>Departure rate for TAS 13</v>
      </c>
      <c r="H137" s="1" t="b">
        <f t="shared" ref="H137:K137" si="215">H126</f>
        <v>1</v>
      </c>
      <c r="I137" s="1" t="str">
        <f t="shared" si="215"/>
        <v>CTRL</v>
      </c>
      <c r="J137" s="1" t="str">
        <f t="shared" si="215"/>
        <v>E*T^-1</v>
      </c>
      <c r="K137" s="1" t="str">
        <f t="shared" si="215"/>
        <v>req/s</v>
      </c>
      <c r="L137" s="1">
        <f>0.1*171.6117975</f>
        <v>17.161179749999999</v>
      </c>
      <c r="M137" s="7">
        <f>1.9*169.067249999999</f>
        <v>321.22777499999808</v>
      </c>
      <c r="N137" s="6">
        <f>AVERAGE(Table1[[#This Row],[_min]:[_max]])</f>
        <v>169.19447737499902</v>
      </c>
      <c r="O137" s="1" t="str">
        <f>Table1[[#This Row],[_units]]</f>
        <v>req/s</v>
      </c>
      <c r="P137" s="1">
        <f>Table1[[#This Row],[_min]]</f>
        <v>17.161179749999999</v>
      </c>
      <c r="Q137" s="1">
        <f>Table1[[#This Row],[_max]]</f>
        <v>321.22777499999808</v>
      </c>
      <c r="R137" s="1">
        <f>Table1[[#This Row],[_mean]]</f>
        <v>169.19447737499902</v>
      </c>
      <c r="S137" s="1" t="str">
        <f t="shared" si="113"/>
        <v>adjusted_rate</v>
      </c>
      <c r="T137" s="1" t="str">
        <f t="shared" ref="T137" si="216">_xlfn.CONCAT("['", C134, "' , '", C136, "']")</f>
        <v>['\lambda_{13}' , 'err_{13}']</v>
      </c>
      <c r="U137" s="1" t="str">
        <f t="shared" ref="U137" si="217">_xlfn.CONCAT("{", "}")</f>
        <v>{}</v>
      </c>
    </row>
    <row r="138" spans="1:21" x14ac:dyDescent="0.5">
      <c r="A138" s="1">
        <v>137</v>
      </c>
      <c r="B138" s="1">
        <f t="shared" si="180"/>
        <v>13</v>
      </c>
      <c r="C138" s="1" t="str">
        <f>_xlfn.CONCAT("c_{",Table1[[#This Row],[dm]], "}")</f>
        <v>c_{13}</v>
      </c>
      <c r="D138" s="1" t="str">
        <f>_xlfn.CONCAT("c_tas_", Table1[[#This Row],[dm]])</f>
        <v>c_tas_13</v>
      </c>
      <c r="E138" s="1" t="str">
        <f t="shared" si="111"/>
        <v>CUSTOM</v>
      </c>
      <c r="F138" s="1" t="str">
        <f>_xlfn.CONCAT("TAS ", Table1[[#This Row],[dm]], " resourses")</f>
        <v>TAS 13 resourses</v>
      </c>
      <c r="G138" s="1" t="str">
        <f>_xlfn.CONCAT("Number of resources allocated in TAS ",Table1[[#This Row],[dm]])</f>
        <v>Number of resources allocated in TAS 13</v>
      </c>
      <c r="H138" s="1" t="b">
        <f t="shared" ref="H138:K138" si="218">H127</f>
        <v>1</v>
      </c>
      <c r="I138" s="1" t="str">
        <f t="shared" si="218"/>
        <v>IN</v>
      </c>
      <c r="J138" s="1" t="str">
        <f t="shared" si="218"/>
        <v>E</v>
      </c>
      <c r="K138" s="1" t="str">
        <f t="shared" si="218"/>
        <v>req</v>
      </c>
      <c r="L138" s="1">
        <v>1</v>
      </c>
      <c r="M138" s="1">
        <f>Table1[[#This Row],[_min]]+2</f>
        <v>3</v>
      </c>
      <c r="N138" s="1">
        <f>AVERAGE(Table1[[#This Row],[_min]:[_max]])</f>
        <v>2</v>
      </c>
      <c r="O138" s="1" t="str">
        <f>Table1[[#This Row],[_units]]</f>
        <v>req</v>
      </c>
      <c r="P138" s="1">
        <f>Table1[[#This Row],[_min]]</f>
        <v>1</v>
      </c>
      <c r="Q138" s="1">
        <f>Table1[[#This Row],[_max]]</f>
        <v>3</v>
      </c>
      <c r="R138" s="1">
        <f>Table1[[#This Row],[_mean]]</f>
        <v>2</v>
      </c>
      <c r="S138" s="1" t="str">
        <f t="shared" si="113"/>
        <v>uniform_int</v>
      </c>
      <c r="T138" s="1" t="str">
        <f t="shared" si="0"/>
        <v>[]</v>
      </c>
      <c r="U138" s="1" t="str">
        <f>_xlfn.CONCAT("{'low': ", Table1[[#This Row],[_std_min]], ", 'high': ",Table1[[#This Row],[_std_max]],"}")</f>
        <v>{'low': 1, 'high': 3}</v>
      </c>
    </row>
    <row r="139" spans="1:21" x14ac:dyDescent="0.5">
      <c r="A139" s="1">
        <v>138</v>
      </c>
      <c r="B139" s="1">
        <f t="shared" si="180"/>
        <v>13</v>
      </c>
      <c r="C139" s="1" t="str">
        <f>_xlfn.CONCAT("K_{",Table1[[#This Row],[dm]],"}")</f>
        <v>K_{13}</v>
      </c>
      <c r="D139" s="1" t="str">
        <f>_xlfn.CONCAT("K_tas_", Table1[[#This Row],[dm]])</f>
        <v>K_tas_13</v>
      </c>
      <c r="E139" s="1" t="str">
        <f t="shared" si="111"/>
        <v>CUSTOM</v>
      </c>
      <c r="F139" s="1" t="str">
        <f>_xlfn.CONCAT("TAS ", Table1[[#This Row],[dm]], " q-capacity")</f>
        <v>TAS 13 q-capacity</v>
      </c>
      <c r="G139" s="1" t="str">
        <f>_xlfn.CONCAT("Allocated request capacity in TAS ",Table1[[#This Row],[dm]]," memory buffer")</f>
        <v>Allocated request capacity in TAS 13 memory buffer</v>
      </c>
      <c r="H139" s="1" t="b">
        <f t="shared" ref="H139:K139" si="219">H128</f>
        <v>1</v>
      </c>
      <c r="I139" s="1" t="str">
        <f t="shared" si="219"/>
        <v>CTRL</v>
      </c>
      <c r="J139" s="1" t="str">
        <f t="shared" si="219"/>
        <v>E</v>
      </c>
      <c r="K139" s="1" t="str">
        <f t="shared" si="219"/>
        <v>req</v>
      </c>
      <c r="L139" s="1">
        <v>1</v>
      </c>
      <c r="M139" s="1">
        <f>Table1[[#This Row],[_min]]+10</f>
        <v>11</v>
      </c>
      <c r="N139" s="1">
        <f>AVERAGE(Table1[[#This Row],[_min]:[_max]])</f>
        <v>6</v>
      </c>
      <c r="O139" s="1" t="str">
        <f>Table1[[#This Row],[_units]]</f>
        <v>req</v>
      </c>
      <c r="P139" s="1">
        <f>Table1[[#This Row],[_min]]</f>
        <v>1</v>
      </c>
      <c r="Q139" s="1">
        <f>Table1[[#This Row],[_max]]</f>
        <v>11</v>
      </c>
      <c r="R139" s="1">
        <f>Table1[[#This Row],[_mean]]</f>
        <v>6</v>
      </c>
      <c r="S139" s="1" t="str">
        <f t="shared" si="113"/>
        <v>shifted_uniform_int</v>
      </c>
      <c r="T139" s="1" t="str">
        <f t="shared" ref="T139" si="220">_xlfn.CONCAT("['", C138, "']")</f>
        <v>['c_{13}']</v>
      </c>
      <c r="U139" s="1" t="str">
        <f>_xlfn.CONCAT("{'low': ", Table1[[#This Row],[_std_min]], ", 'high': ",Table1[[#This Row],[_std_max]],"}")</f>
        <v>{'low': 1, 'high': 11}</v>
      </c>
    </row>
    <row r="140" spans="1:21" x14ac:dyDescent="0.5">
      <c r="A140" s="1">
        <v>139</v>
      </c>
      <c r="B140" s="1">
        <f t="shared" si="180"/>
        <v>13</v>
      </c>
      <c r="C140" s="1" t="str">
        <f>_xlfn.CONCAT("\delta_{", Table1[[#This Row],[dm]],"}")</f>
        <v>\delta_{13}</v>
      </c>
      <c r="D140" s="1" t="str">
        <f>_xlfn.CONCAT("delta_tas_", Table1[[#This Row],[dm]])</f>
        <v>delta_tas_13</v>
      </c>
      <c r="E140" s="1" t="str">
        <f t="shared" si="111"/>
        <v>CUSTOM</v>
      </c>
      <c r="F140" s="1" t="str">
        <f>_xlfn.CONCAT("TAS ", Table1[[#This Row],[dm]], " req data density")</f>
        <v>TAS 13 req data density</v>
      </c>
      <c r="G140" s="1" t="str">
        <f>_xlfn.CONCAT("Data density for request in TAS ", Table1[[#This Row],[dm]], " expected data per requests")</f>
        <v>Data density for request in TAS 13 expected data per requests</v>
      </c>
      <c r="H140" s="1" t="b">
        <f t="shared" ref="H140:K140" si="221">H129</f>
        <v>0</v>
      </c>
      <c r="I140" s="1" t="str">
        <f t="shared" si="221"/>
        <v>IN</v>
      </c>
      <c r="J140" s="1" t="str">
        <f t="shared" si="221"/>
        <v>D*E^-1</v>
      </c>
      <c r="K140" s="1" t="str">
        <f t="shared" si="221"/>
        <v>kB/req</v>
      </c>
      <c r="L140" s="1">
        <v>128</v>
      </c>
      <c r="M140" s="1">
        <f>2*1000</f>
        <v>2000</v>
      </c>
      <c r="N140" s="1">
        <f>AVERAGE(Table1[[#This Row],[_min]:[_max]])</f>
        <v>1064</v>
      </c>
      <c r="O140" s="1" t="s">
        <v>11</v>
      </c>
      <c r="P140" s="1">
        <f>Table1[[#This Row],[_min]]*1024000</f>
        <v>131072000</v>
      </c>
      <c r="Q140" s="1">
        <f>Table1[[#This Row],[_max]]*1024000</f>
        <v>2048000000</v>
      </c>
      <c r="R140" s="1">
        <f>Table1[[#This Row],[_mean]]*1024000</f>
        <v>1089536000</v>
      </c>
      <c r="S140" s="1" t="str">
        <f t="shared" si="113"/>
        <v>uniform</v>
      </c>
      <c r="T140" s="1" t="str">
        <f t="shared" si="0"/>
        <v>[]</v>
      </c>
      <c r="U140" s="1" t="str">
        <f>_xlfn.CONCAT("{'low': ", Table1[[#This Row],[_std_min]], ", 'high': ",Table1[[#This Row],[_std_max]],"}")</f>
        <v>{'low': 131072000, 'high': 2048000000}</v>
      </c>
    </row>
    <row r="141" spans="1:21" x14ac:dyDescent="0.5">
      <c r="A141" s="1">
        <v>140</v>
      </c>
      <c r="B141" s="1">
        <f t="shared" si="180"/>
        <v>13</v>
      </c>
      <c r="C141" s="1" t="str">
        <f>_xlfn.CONCAT("L_{",Table1[[#This Row],[dm]], "}")</f>
        <v>L_{13}</v>
      </c>
      <c r="D141" s="1" t="str">
        <f>_xlfn.CONCAT("L_tas_", Table1[[#This Row],[dm]])</f>
        <v>L_tas_13</v>
      </c>
      <c r="E141" s="1" t="str">
        <f t="shared" si="111"/>
        <v>CUSTOM</v>
      </c>
      <c r="F141" s="1" t="str">
        <f>_xlfn.CONCAT("TAS ", Table1[[#This Row],[dm]], " mean processing requests")</f>
        <v>TAS 13 mean processing requests</v>
      </c>
      <c r="G141" s="1" t="str">
        <f>_xlfn.CONCAT("Average number of request in TAS ",Table1[[#This Row],[dm]], " component")</f>
        <v>Average number of request in TAS 13 component</v>
      </c>
      <c r="H141" s="1" t="b">
        <f t="shared" ref="H141:K141" si="222">H130</f>
        <v>1</v>
      </c>
      <c r="I141" s="1" t="str">
        <f t="shared" si="222"/>
        <v>CTRL</v>
      </c>
      <c r="J141" s="1" t="str">
        <f t="shared" si="222"/>
        <v>E</v>
      </c>
      <c r="K141" s="1" t="str">
        <f t="shared" si="222"/>
        <v>req</v>
      </c>
      <c r="L141" s="1">
        <v>1</v>
      </c>
      <c r="M141" s="1">
        <f>Table1[[#This Row],[_min]]+10</f>
        <v>11</v>
      </c>
      <c r="N141" s="1">
        <f>AVERAGE(Table1[[#This Row],[_min]:[_max]])</f>
        <v>6</v>
      </c>
      <c r="O141" s="1" t="str">
        <f>Table1[[#This Row],[_units]]</f>
        <v>req</v>
      </c>
      <c r="P141" s="1">
        <f>Table1[[#This Row],[_min]]</f>
        <v>1</v>
      </c>
      <c r="Q141" s="1">
        <f>Table1[[#This Row],[_max]]</f>
        <v>11</v>
      </c>
      <c r="R141" s="1">
        <f>Table1[[#This Row],[_mean]]</f>
        <v>6</v>
      </c>
      <c r="S141" s="1" t="str">
        <f t="shared" si="113"/>
        <v>queue_length</v>
      </c>
      <c r="T141" s="1" t="str">
        <f t="shared" ref="T141" si="223">_xlfn.CONCAT("['", C134, "' , '", C135, "' , '", C138, "' , '", C139, "']")</f>
        <v>['\lambda_{13}' , '\mu_{13}' , 'c_{13}' , 'K_{13}']</v>
      </c>
      <c r="U141" s="1" t="str">
        <f t="shared" ref="U141:U144" si="224">_xlfn.CONCAT("{", "}")</f>
        <v>{}</v>
      </c>
    </row>
    <row r="142" spans="1:21" x14ac:dyDescent="0.5">
      <c r="A142" s="1">
        <v>141</v>
      </c>
      <c r="B142" s="1">
        <f t="shared" si="180"/>
        <v>13</v>
      </c>
      <c r="C142" s="1" t="str">
        <f>_xlfn.CONCAT("Lq_{",Table1[[#This Row],[dm]], "}")</f>
        <v>Lq_{13}</v>
      </c>
      <c r="D142" s="1" t="str">
        <f>_xlfn.CONCAT("Lq_tas_", Table1[[#This Row],[dm]])</f>
        <v>Lq_tas_13</v>
      </c>
      <c r="E142" s="1" t="str">
        <f t="shared" ref="E142:E144" si="225">E131</f>
        <v>CUSTOM</v>
      </c>
      <c r="F142" s="1" t="str">
        <f>_xlfn.CONCAT("TAS ", Table1[[#This Row],[dm]], " mean in memory requests")</f>
        <v>TAS 13 mean in memory requests</v>
      </c>
      <c r="G142" s="1" t="str">
        <f>_xlfn.CONCAT("Average number of request in TAS ",Table1[[#This Row],[dm]], " memory")</f>
        <v>Average number of request in TAS 13 memory</v>
      </c>
      <c r="H142" s="1" t="b">
        <f t="shared" ref="H142:K142" si="226">H131</f>
        <v>0</v>
      </c>
      <c r="I142" s="1" t="str">
        <f t="shared" si="226"/>
        <v>CTRL</v>
      </c>
      <c r="J142" s="1" t="str">
        <f t="shared" si="226"/>
        <v>E</v>
      </c>
      <c r="K142" s="1" t="str">
        <f t="shared" si="226"/>
        <v>req</v>
      </c>
      <c r="L142" s="1">
        <v>1</v>
      </c>
      <c r="M142" s="1">
        <f>Table1[[#This Row],[_min]]+10</f>
        <v>11</v>
      </c>
      <c r="N142" s="1">
        <f>AVERAGE(Table1[[#This Row],[_min]:[_max]])</f>
        <v>6</v>
      </c>
      <c r="O142" s="1" t="str">
        <f>Table1[[#This Row],[_units]]</f>
        <v>req</v>
      </c>
      <c r="P142" s="1">
        <f>Table1[[#This Row],[_min]]</f>
        <v>1</v>
      </c>
      <c r="Q142" s="1">
        <f>Table1[[#This Row],[_max]]</f>
        <v>11</v>
      </c>
      <c r="R142" s="1">
        <f>Table1[[#This Row],[_mean]]</f>
        <v>6</v>
      </c>
      <c r="S142" s="1" t="str">
        <f t="shared" ref="S142:S144" si="227">S131</f>
        <v>queue_length</v>
      </c>
      <c r="T142" s="1" t="str">
        <f t="shared" ref="T142" si="228">_xlfn.CONCAT("['", C134, "' , '", C135, "' , '", C138, "' , '", C139, "']")</f>
        <v>['\lambda_{13}' , '\mu_{13}' , 'c_{13}' , 'K_{13}']</v>
      </c>
      <c r="U142" s="1" t="str">
        <f t="shared" si="224"/>
        <v>{}</v>
      </c>
    </row>
    <row r="143" spans="1:21" x14ac:dyDescent="0.5">
      <c r="A143" s="1">
        <v>142</v>
      </c>
      <c r="B143" s="1">
        <f t="shared" si="180"/>
        <v>13</v>
      </c>
      <c r="C143" s="1" t="str">
        <f>_xlfn.CONCAT("W_{",Table1[[#This Row],[dm]], "}")</f>
        <v>W_{13}</v>
      </c>
      <c r="D143" s="1" t="str">
        <f>_xlfn.CONCAT("W_tas_", Table1[[#This Row],[dm]])</f>
        <v>W_tas_13</v>
      </c>
      <c r="E143" s="1" t="str">
        <f t="shared" si="225"/>
        <v>CUSTOM</v>
      </c>
      <c r="F143" s="1" t="str">
        <f>_xlfn.CONCAT("TAS ", Table1[[#This Row],[dm]], " mean time to answer")</f>
        <v>TAS 13 mean time to answer</v>
      </c>
      <c r="G143" s="1" t="str">
        <f>_xlfn.CONCAT("Average time to complete a request in TAS ",Table1[[#This Row],[dm]])</f>
        <v>Average time to complete a request in TAS 13</v>
      </c>
      <c r="H143" s="1" t="b">
        <f t="shared" ref="H143:K143" si="229">H132</f>
        <v>1</v>
      </c>
      <c r="I143" s="1" t="str">
        <f t="shared" si="229"/>
        <v>OUT</v>
      </c>
      <c r="J143" s="1" t="str">
        <f t="shared" si="229"/>
        <v>T</v>
      </c>
      <c r="K143" s="1" t="str">
        <f t="shared" si="229"/>
        <v>s</v>
      </c>
      <c r="L143" s="1">
        <v>0</v>
      </c>
      <c r="M143" s="8">
        <v>1.8834777097476E-3</v>
      </c>
      <c r="N143" s="8">
        <v>1.8834777097476E-3</v>
      </c>
      <c r="O143" s="1" t="str">
        <f>Table1[[#This Row],[_units]]</f>
        <v>s</v>
      </c>
      <c r="P143" s="1">
        <f>Table1[[#This Row],[_min]]</f>
        <v>0</v>
      </c>
      <c r="Q143" s="1">
        <f>Table1[[#This Row],[_max]]</f>
        <v>1.8834777097476E-3</v>
      </c>
      <c r="R143" s="1">
        <f>Table1[[#This Row],[_mean]]</f>
        <v>1.8834777097476E-3</v>
      </c>
      <c r="S143" s="1" t="str">
        <f t="shared" si="227"/>
        <v>queue_time</v>
      </c>
      <c r="T143" s="1" t="str">
        <f t="shared" ref="T143" si="230">_xlfn.CONCAT("['", C137, "' , '", C141, "']")</f>
        <v>['\chi_{13}' , 'L_{13}']</v>
      </c>
      <c r="U143" s="1" t="str">
        <f t="shared" si="224"/>
        <v>{}</v>
      </c>
    </row>
    <row r="144" spans="1:21" x14ac:dyDescent="0.5">
      <c r="A144" s="1">
        <v>143</v>
      </c>
      <c r="B144" s="1">
        <f t="shared" si="180"/>
        <v>13</v>
      </c>
      <c r="C144" s="1" t="str">
        <f>_xlfn.CONCAT("Wq_{",Table1[[#This Row],[dm]], "}")</f>
        <v>Wq_{13}</v>
      </c>
      <c r="D144" s="1" t="str">
        <f>_xlfn.CONCAT("Wq_tas_", Table1[[#This Row],[dm]])</f>
        <v>Wq_tas_13</v>
      </c>
      <c r="E144" s="1" t="str">
        <f t="shared" si="225"/>
        <v>CUSTOM</v>
      </c>
      <c r="F144" s="1" t="str">
        <f>_xlfn.CONCAT("TAS ", Table1[[#This Row],[dm]], " mean time in buffer")</f>
        <v>TAS 13 mean time in buffer</v>
      </c>
      <c r="G144" s="1" t="str">
        <f>_xlfn.CONCAT("Average time for a request to transit the buffer in TAS ",Table1[[#This Row],[dm]])</f>
        <v>Average time for a request to transit the buffer in TAS 13</v>
      </c>
      <c r="H144" s="1" t="b">
        <f t="shared" ref="H144:K144" si="231">H133</f>
        <v>0</v>
      </c>
      <c r="I144" s="1" t="str">
        <f t="shared" si="231"/>
        <v>CTRL</v>
      </c>
      <c r="J144" s="1" t="str">
        <f t="shared" si="231"/>
        <v>T</v>
      </c>
      <c r="K144" s="1" t="str">
        <f t="shared" si="231"/>
        <v>s</v>
      </c>
      <c r="L144" s="1">
        <v>0</v>
      </c>
      <c r="M144" s="8">
        <v>4.5490628117617998E-4</v>
      </c>
      <c r="N144" s="8">
        <v>4.5490628117617998E-4</v>
      </c>
      <c r="O144" s="1" t="str">
        <f>Table1[[#This Row],[_units]]</f>
        <v>s</v>
      </c>
      <c r="P144" s="1">
        <f>Table1[[#This Row],[_min]]</f>
        <v>0</v>
      </c>
      <c r="Q144" s="1">
        <f>Table1[[#This Row],[_max]]</f>
        <v>4.5490628117617998E-4</v>
      </c>
      <c r="R144" s="1">
        <f>Table1[[#This Row],[_mean]]</f>
        <v>4.5490628117617998E-4</v>
      </c>
      <c r="S144" s="1" t="str">
        <f t="shared" si="227"/>
        <v>queue_time</v>
      </c>
      <c r="T144" s="1" t="str">
        <f t="shared" ref="T144" si="232">_xlfn.CONCAT("['", C137, "' , '", C142, "']")</f>
        <v>['\chi_{13}' , 'Lq_{13}']</v>
      </c>
      <c r="U144" s="1" t="str">
        <f t="shared" si="224"/>
        <v>{}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B5509-780C-4AC4-B46F-3966C71D9DD8}">
  <dimension ref="A1"/>
  <sheetViews>
    <sheetView workbookViewId="0">
      <selection activeCell="A2" sqref="A2:XFD32"/>
    </sheetView>
  </sheetViews>
  <sheetFormatPr defaultRowHeight="14.35" x14ac:dyDescent="0.5"/>
  <cols>
    <col min="4" max="4" width="14.41015625" bestFit="1" customWidth="1"/>
    <col min="5" max="5" width="11.76171875" customWidth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9803A-A726-4AE0-8549-861C28809EAF}">
  <dimension ref="A1:U144"/>
  <sheetViews>
    <sheetView zoomScale="115" zoomScaleNormal="115" workbookViewId="0">
      <pane xSplit="3" ySplit="1" topLeftCell="M113" activePane="bottomRight" state="frozen"/>
      <selection pane="topRight" activeCell="D1" sqref="D1"/>
      <selection pane="bottomLeft" activeCell="A2" sqref="A2"/>
      <selection pane="bottomRight" activeCell="A2" sqref="A2:U144"/>
    </sheetView>
  </sheetViews>
  <sheetFormatPr defaultRowHeight="14.35" x14ac:dyDescent="0.5"/>
  <cols>
    <col min="1" max="1" width="8.234375" style="1" bestFit="1" customWidth="1"/>
    <col min="2" max="2" width="7.703125" style="1" bestFit="1" customWidth="1"/>
    <col min="3" max="3" width="11.1171875" style="1" bestFit="1" customWidth="1"/>
    <col min="4" max="4" width="12.703125" style="1" bestFit="1" customWidth="1"/>
    <col min="5" max="5" width="9.52734375" style="1" bestFit="1" customWidth="1"/>
    <col min="6" max="6" width="27.05859375" style="1" bestFit="1" customWidth="1"/>
    <col min="7" max="7" width="48.46875" style="1" bestFit="1" customWidth="1"/>
    <col min="8" max="8" width="11.76171875" style="1" bestFit="1" customWidth="1"/>
    <col min="9" max="9" width="7.64453125" style="1" bestFit="1" customWidth="1"/>
    <col min="10" max="10" width="9.05859375" style="1" bestFit="1" customWidth="1"/>
    <col min="11" max="11" width="9.1171875" style="1" bestFit="1" customWidth="1"/>
    <col min="12" max="12" width="8.9375" style="1" bestFit="1" customWidth="1"/>
    <col min="13" max="13" width="11.29296875" style="1" bestFit="1" customWidth="1"/>
    <col min="14" max="14" width="11.76171875" style="1" bestFit="1" customWidth="1"/>
    <col min="15" max="15" width="12.41015625" style="1" bestFit="1" customWidth="1"/>
    <col min="16" max="16" width="11.46875" style="1" bestFit="1" customWidth="1"/>
    <col min="17" max="17" width="11.8203125" style="1" bestFit="1" customWidth="1"/>
    <col min="18" max="18" width="12.9375" style="1" bestFit="1" customWidth="1"/>
    <col min="19" max="19" width="15.87890625" style="1" bestFit="1" customWidth="1"/>
    <col min="20" max="20" width="36" style="1" bestFit="1" customWidth="1"/>
    <col min="21" max="21" width="32.76171875" style="1" bestFit="1" customWidth="1"/>
  </cols>
  <sheetData>
    <row r="1" spans="1:21" x14ac:dyDescent="0.5">
      <c r="A1" s="1" t="s">
        <v>12</v>
      </c>
      <c r="B1" s="1" t="s">
        <v>8</v>
      </c>
      <c r="C1" s="1" t="s">
        <v>13</v>
      </c>
      <c r="D1" s="1" t="s">
        <v>14</v>
      </c>
      <c r="E1" s="1" t="s">
        <v>15</v>
      </c>
      <c r="F1" s="1" t="s">
        <v>0</v>
      </c>
      <c r="G1" s="1" t="s">
        <v>1</v>
      </c>
      <c r="H1" s="1" t="s">
        <v>2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31</v>
      </c>
      <c r="U1" s="1" t="s">
        <v>27</v>
      </c>
    </row>
    <row r="2" spans="1:21" x14ac:dyDescent="0.5">
      <c r="A2" s="1">
        <v>1</v>
      </c>
      <c r="B2" s="1">
        <v>1</v>
      </c>
      <c r="C2" s="1" t="str">
        <f>_xlfn.CONCAT("\lambda_{", Table14[[#This Row],[dm]],"}")</f>
        <v>\lambda_{1}</v>
      </c>
      <c r="D2" s="1" t="str">
        <f>_xlfn.CONCAT("lambda_tas_", Table14[[#This Row],[dm]])</f>
        <v>lambda_tas_1</v>
      </c>
      <c r="E2" s="1" t="s">
        <v>37</v>
      </c>
      <c r="F2" s="1" t="str">
        <f>_xlfn.CONCAT("TAS ", Table14[[#This Row],[dm]], " arrival rate")</f>
        <v>TAS 1 arrival rate</v>
      </c>
      <c r="G2" s="1" t="str">
        <f>_xlfn.CONCAT("Arrival rate for TAS ",Table14[[#This Row],[dm]])</f>
        <v>Arrival rate for TAS 1</v>
      </c>
      <c r="H2" s="1" t="b">
        <v>1</v>
      </c>
      <c r="I2" s="1" t="s">
        <v>3</v>
      </c>
      <c r="J2" s="1" t="s">
        <v>38</v>
      </c>
      <c r="K2" s="1" t="s">
        <v>4</v>
      </c>
      <c r="L2" s="1">
        <f>0.1*345</f>
        <v>34.5</v>
      </c>
      <c r="M2" s="1">
        <f>1.9*345</f>
        <v>655.5</v>
      </c>
      <c r="N2" s="1">
        <f>AVERAGE(Table14[[#This Row],[_min]:[_max]])</f>
        <v>345</v>
      </c>
      <c r="O2" s="1" t="str">
        <f>Table14[[#This Row],[_units]]</f>
        <v>req/s</v>
      </c>
      <c r="P2" s="1">
        <f>Table14[[#This Row],[_min]]</f>
        <v>34.5</v>
      </c>
      <c r="Q2" s="1">
        <f>Table14[[#This Row],[_max]]</f>
        <v>655.5</v>
      </c>
      <c r="R2" s="1">
        <f>Table14[[#This Row],[_mean]]</f>
        <v>345</v>
      </c>
      <c r="S2" s="1" t="s">
        <v>9</v>
      </c>
      <c r="T2" s="1" t="str">
        <f t="shared" ref="T2:T140" si="0">_xlfn.CONCAT("[","]")</f>
        <v>[]</v>
      </c>
      <c r="U2" s="1" t="str">
        <f>_xlfn.CONCAT("{'low': ", Table14[[#This Row],[_std_min]], ", 'high': ",Table14[[#This Row],[_std_max]],"}")</f>
        <v>{'low': 34.5, 'high': 655.5}</v>
      </c>
    </row>
    <row r="3" spans="1:21" x14ac:dyDescent="0.5">
      <c r="A3" s="1">
        <v>2</v>
      </c>
      <c r="B3" s="1">
        <v>1</v>
      </c>
      <c r="C3" s="1" t="str">
        <f>_xlfn.CONCAT("\mu_{",Table14[[#This Row],[dm]], "}")</f>
        <v>\mu_{1}</v>
      </c>
      <c r="D3" s="1" t="str">
        <f>_xlfn.CONCAT("mu_tas_", Table14[[#This Row],[dm]])</f>
        <v>mu_tas_1</v>
      </c>
      <c r="E3" s="1" t="s">
        <v>37</v>
      </c>
      <c r="F3" s="1" t="str">
        <f>_xlfn.CONCAT("TAS ", Table14[[#This Row],[dm]], " service rate")</f>
        <v>TAS 1 service rate</v>
      </c>
      <c r="G3" s="1" t="str">
        <f>_xlfn.CONCAT("Service rate for TAS ",Table14[[#This Row],[dm]])</f>
        <v>Service rate for TAS 1</v>
      </c>
      <c r="H3" s="1" t="b">
        <v>1</v>
      </c>
      <c r="I3" s="1" t="s">
        <v>5</v>
      </c>
      <c r="J3" s="1" t="s">
        <v>38</v>
      </c>
      <c r="K3" s="1" t="s">
        <v>4</v>
      </c>
      <c r="L3" s="1">
        <f>0.1*900</f>
        <v>90</v>
      </c>
      <c r="M3" s="4">
        <f>1.9*900</f>
        <v>1710</v>
      </c>
      <c r="N3" s="4">
        <f>AVERAGE(Table14[[#This Row],[_min]:[_max]])</f>
        <v>900</v>
      </c>
      <c r="O3" s="1" t="str">
        <f>Table14[[#This Row],[_units]]</f>
        <v>req/s</v>
      </c>
      <c r="P3" s="1">
        <f>Table14[[#This Row],[_min]]</f>
        <v>90</v>
      </c>
      <c r="Q3" s="1">
        <f>Table14[[#This Row],[_max]]</f>
        <v>1710</v>
      </c>
      <c r="R3" s="4">
        <f>Table14[[#This Row],[_mean]]</f>
        <v>900</v>
      </c>
      <c r="S3" s="1" t="s">
        <v>9</v>
      </c>
      <c r="T3" s="1" t="str">
        <f t="shared" si="0"/>
        <v>[]</v>
      </c>
      <c r="U3" s="1" t="str">
        <f>_xlfn.CONCAT("{'low': ", Table14[[#This Row],[_std_min]], ", 'high': ",Table14[[#This Row],[_std_max]],"}")</f>
        <v>{'low': 90, 'high': 1710}</v>
      </c>
    </row>
    <row r="4" spans="1:21" x14ac:dyDescent="0.5">
      <c r="A4" s="1">
        <v>3</v>
      </c>
      <c r="B4" s="1">
        <v>1</v>
      </c>
      <c r="C4" s="1" t="str">
        <f>_xlfn.CONCAT("err_{",Table14[[#This Row],[dm]], "}")</f>
        <v>err_{1}</v>
      </c>
      <c r="D4" s="1" t="str">
        <f>_xlfn.CONCAT("err_tas_", Table14[[#This Row],[dm]])</f>
        <v>err_tas_1</v>
      </c>
      <c r="E4" s="1" t="s">
        <v>37</v>
      </c>
      <c r="F4" s="1" t="str">
        <f>_xlfn.CONCAT("TAS ", Table14[[#This Row],[dm]], " error probability")</f>
        <v>TAS 1 error probability</v>
      </c>
      <c r="G4" s="1" t="str">
        <f>_xlfn.CONCAT("Service error probability for TAS ",Table14[[#This Row],[dm]])</f>
        <v>Service error probability for TAS 1</v>
      </c>
      <c r="H4" s="1" t="b">
        <v>0</v>
      </c>
      <c r="I4" s="1" t="s">
        <v>5</v>
      </c>
      <c r="J4" s="1" t="s">
        <v>38</v>
      </c>
      <c r="K4" s="1" t="s">
        <v>30</v>
      </c>
      <c r="L4" s="3">
        <v>0</v>
      </c>
      <c r="M4" s="3">
        <v>0</v>
      </c>
      <c r="N4" s="3">
        <f>AVERAGE(Table14[[#This Row],[_min]:[_max]])</f>
        <v>0</v>
      </c>
      <c r="O4" s="1" t="str">
        <f>Table14[[#This Row],[_units]]</f>
        <v>n.a.</v>
      </c>
      <c r="P4" s="2">
        <f>Table14[[#This Row],[_min]]</f>
        <v>0</v>
      </c>
      <c r="Q4" s="2">
        <f>Table14[[#This Row],[_max]]</f>
        <v>0</v>
      </c>
      <c r="R4" s="2">
        <f>Table14[[#This Row],[_mean]]</f>
        <v>0</v>
      </c>
      <c r="S4" s="1" t="s">
        <v>41</v>
      </c>
      <c r="T4" s="1" t="str">
        <f t="shared" si="0"/>
        <v>[]</v>
      </c>
      <c r="U4" s="1" t="str">
        <f>_xlfn.CONCAT("{'constant': ",Table14[[#This Row],[_std_max]],"}")</f>
        <v>{'constant': 0}</v>
      </c>
    </row>
    <row r="5" spans="1:21" x14ac:dyDescent="0.5">
      <c r="A5" s="1">
        <v>4</v>
      </c>
      <c r="B5" s="1">
        <v>1</v>
      </c>
      <c r="C5" s="1" t="str">
        <f>_xlfn.CONCAT("\chi_{",Table14[[#This Row],[dm]], "}")</f>
        <v>\chi_{1}</v>
      </c>
      <c r="D5" s="1" t="str">
        <f>_xlfn.CONCAT("chi_tas_", Table14[[#This Row],[dm]])</f>
        <v>chi_tas_1</v>
      </c>
      <c r="E5" s="1" t="s">
        <v>37</v>
      </c>
      <c r="F5" s="1" t="str">
        <f>_xlfn.CONCAT("TAS ", Table14[[#This Row],[dm]], " departure rate")</f>
        <v>TAS 1 departure rate</v>
      </c>
      <c r="G5" s="1" t="str">
        <f>_xlfn.CONCAT("Departure rate for TAS ",Table14[[#This Row],[dm]])</f>
        <v>Departure rate for TAS 1</v>
      </c>
      <c r="H5" s="1" t="b">
        <v>1</v>
      </c>
      <c r="I5" s="1" t="s">
        <v>5</v>
      </c>
      <c r="J5" s="1" t="s">
        <v>38</v>
      </c>
      <c r="K5" s="1" t="s">
        <v>4</v>
      </c>
      <c r="L5" s="1">
        <f>0.1*345</f>
        <v>34.5</v>
      </c>
      <c r="M5" s="6">
        <f>1.9*345</f>
        <v>655.5</v>
      </c>
      <c r="N5" s="6">
        <f>AVERAGE(Table14[[#This Row],[_min]:[_max]])</f>
        <v>345</v>
      </c>
      <c r="O5" s="1" t="str">
        <f>Table14[[#This Row],[_units]]</f>
        <v>req/s</v>
      </c>
      <c r="P5" s="1">
        <f>Table14[[#This Row],[_min]]</f>
        <v>34.5</v>
      </c>
      <c r="Q5" s="1">
        <f>Table14[[#This Row],[_max]]</f>
        <v>655.5</v>
      </c>
      <c r="R5" s="1">
        <f>Table14[[#This Row],[_mean]]</f>
        <v>345</v>
      </c>
      <c r="S5" s="1" t="s">
        <v>36</v>
      </c>
      <c r="T5" s="1" t="str">
        <f>_xlfn.CONCAT("['", C2, "' , '", C4, "']")</f>
        <v>['\lambda_{1}' , 'err_{1}']</v>
      </c>
      <c r="U5" s="1" t="str">
        <f>_xlfn.CONCAT("{", "}")</f>
        <v>{}</v>
      </c>
    </row>
    <row r="6" spans="1:21" x14ac:dyDescent="0.5">
      <c r="A6" s="1">
        <v>5</v>
      </c>
      <c r="B6" s="1">
        <v>1</v>
      </c>
      <c r="C6" s="1" t="str">
        <f>_xlfn.CONCAT("c_{",Table14[[#This Row],[dm]], "}")</f>
        <v>c_{1}</v>
      </c>
      <c r="D6" s="1" t="str">
        <f>_xlfn.CONCAT("c_tas_", Table14[[#This Row],[dm]])</f>
        <v>c_tas_1</v>
      </c>
      <c r="E6" s="1" t="s">
        <v>37</v>
      </c>
      <c r="F6" s="1" t="str">
        <f>_xlfn.CONCAT("TAS ", Table14[[#This Row],[dm]], " resourses")</f>
        <v>TAS 1 resourses</v>
      </c>
      <c r="G6" s="1" t="str">
        <f>_xlfn.CONCAT("Number of resources allocated in TAS ",Table14[[#This Row],[dm]])</f>
        <v>Number of resources allocated in TAS 1</v>
      </c>
      <c r="H6" s="1" t="b">
        <v>1</v>
      </c>
      <c r="I6" s="1" t="s">
        <v>3</v>
      </c>
      <c r="J6" s="1" t="s">
        <v>39</v>
      </c>
      <c r="K6" s="1" t="s">
        <v>7</v>
      </c>
      <c r="L6" s="1">
        <v>1</v>
      </c>
      <c r="M6" s="1">
        <f>Table14[[#This Row],[_min]]+2</f>
        <v>3</v>
      </c>
      <c r="N6" s="1">
        <f>AVERAGE(Table14[[#This Row],[_min]:[_max]])</f>
        <v>2</v>
      </c>
      <c r="O6" s="1" t="str">
        <f>Table14[[#This Row],[_units]]</f>
        <v>req</v>
      </c>
      <c r="P6" s="1">
        <f>Table14[[#This Row],[_min]]</f>
        <v>1</v>
      </c>
      <c r="Q6" s="1">
        <f>Table14[[#This Row],[_max]]</f>
        <v>3</v>
      </c>
      <c r="R6" s="1">
        <f>Table14[[#This Row],[_mean]]</f>
        <v>2</v>
      </c>
      <c r="S6" s="1" t="s">
        <v>32</v>
      </c>
      <c r="T6" s="1" t="str">
        <f t="shared" si="0"/>
        <v>[]</v>
      </c>
      <c r="U6" s="1" t="str">
        <f>_xlfn.CONCAT("{'low': ", Table14[[#This Row],[_std_min]], ", 'high': ",Table14[[#This Row],[_std_max]],"}")</f>
        <v>{'low': 1, 'high': 3}</v>
      </c>
    </row>
    <row r="7" spans="1:21" x14ac:dyDescent="0.5">
      <c r="A7" s="1">
        <v>6</v>
      </c>
      <c r="B7" s="1">
        <v>1</v>
      </c>
      <c r="C7" s="1" t="str">
        <f>_xlfn.CONCAT("K_{",Table14[[#This Row],[dm]],"}")</f>
        <v>K_{1}</v>
      </c>
      <c r="D7" s="1" t="str">
        <f>_xlfn.CONCAT("K_tas_", Table14[[#This Row],[dm]])</f>
        <v>K_tas_1</v>
      </c>
      <c r="E7" s="1" t="s">
        <v>37</v>
      </c>
      <c r="F7" s="1" t="str">
        <f>_xlfn.CONCAT("TAS ", Table14[[#This Row],[dm]], " q-capacity")</f>
        <v>TAS 1 q-capacity</v>
      </c>
      <c r="G7" s="1" t="str">
        <f>_xlfn.CONCAT("Allocated request capacity in TAS ",Table14[[#This Row],[dm]]," memory buffer")</f>
        <v>Allocated request capacity in TAS 1 memory buffer</v>
      </c>
      <c r="H7" s="1" t="b">
        <v>1</v>
      </c>
      <c r="I7" s="1" t="s">
        <v>5</v>
      </c>
      <c r="J7" s="1" t="s">
        <v>39</v>
      </c>
      <c r="K7" s="1" t="s">
        <v>7</v>
      </c>
      <c r="L7" s="1">
        <v>1</v>
      </c>
      <c r="M7" s="1">
        <f>Table14[[#This Row],[_min]]+10</f>
        <v>11</v>
      </c>
      <c r="N7" s="1">
        <f>AVERAGE(Table14[[#This Row],[_min]:[_max]])</f>
        <v>6</v>
      </c>
      <c r="O7" s="1" t="str">
        <f>Table14[[#This Row],[_units]]</f>
        <v>req</v>
      </c>
      <c r="P7" s="1">
        <f>Table14[[#This Row],[_min]]</f>
        <v>1</v>
      </c>
      <c r="Q7" s="1">
        <f>Table14[[#This Row],[_max]]</f>
        <v>11</v>
      </c>
      <c r="R7" s="1">
        <f>Table14[[#This Row],[_mean]]</f>
        <v>6</v>
      </c>
      <c r="S7" s="1" t="s">
        <v>33</v>
      </c>
      <c r="T7" s="1" t="str">
        <f>_xlfn.CONCAT("['", C6, "']")</f>
        <v>['c_{1}']</v>
      </c>
      <c r="U7" s="1" t="str">
        <f>_xlfn.CONCAT("{'low': ", Table14[[#This Row],[_std_min]], ", 'high': ",Table14[[#This Row],[_std_max]],"}")</f>
        <v>{'low': 1, 'high': 11}</v>
      </c>
    </row>
    <row r="8" spans="1:21" x14ac:dyDescent="0.5">
      <c r="A8" s="1">
        <v>7</v>
      </c>
      <c r="B8" s="1">
        <v>1</v>
      </c>
      <c r="C8" s="1" t="str">
        <f>_xlfn.CONCAT("\delta_{", Table14[[#This Row],[dm]],"}")</f>
        <v>\delta_{1}</v>
      </c>
      <c r="D8" s="1" t="str">
        <f>_xlfn.CONCAT("delta_tas_", Table14[[#This Row],[dm]])</f>
        <v>delta_tas_1</v>
      </c>
      <c r="E8" s="1" t="s">
        <v>37</v>
      </c>
      <c r="F8" s="1" t="str">
        <f>_xlfn.CONCAT("TAS ", Table14[[#This Row],[dm]], " req data density")</f>
        <v>TAS 1 req data density</v>
      </c>
      <c r="G8" s="1" t="str">
        <f>_xlfn.CONCAT("Data density for request in TAS ", Table14[[#This Row],[dm]], " expected data per requests")</f>
        <v>Data density for request in TAS 1 expected data per requests</v>
      </c>
      <c r="H8" s="1" t="b">
        <v>0</v>
      </c>
      <c r="I8" s="1" t="s">
        <v>3</v>
      </c>
      <c r="J8" s="1" t="s">
        <v>40</v>
      </c>
      <c r="K8" s="1" t="s">
        <v>10</v>
      </c>
      <c r="L8" s="1">
        <v>128</v>
      </c>
      <c r="M8" s="1">
        <f>2*1000</f>
        <v>2000</v>
      </c>
      <c r="N8" s="1">
        <f>AVERAGE(Table14[[#This Row],[_min]:[_max]])</f>
        <v>1064</v>
      </c>
      <c r="O8" s="1" t="s">
        <v>11</v>
      </c>
      <c r="P8" s="1">
        <f>Table14[[#This Row],[_min]]*1024000</f>
        <v>131072000</v>
      </c>
      <c r="Q8" s="1">
        <f>Table14[[#This Row],[_max]]*1024000</f>
        <v>2048000000</v>
      </c>
      <c r="R8" s="1">
        <f>Table14[[#This Row],[_mean]]*1024000</f>
        <v>1089536000</v>
      </c>
      <c r="S8" s="1" t="s">
        <v>9</v>
      </c>
      <c r="T8" s="1" t="str">
        <f t="shared" si="0"/>
        <v>[]</v>
      </c>
      <c r="U8" s="1" t="str">
        <f>_xlfn.CONCAT("{'low': ", Table14[[#This Row],[_std_min]], ", 'high': ",Table14[[#This Row],[_std_max]],"}")</f>
        <v>{'low': 131072000, 'high': 2048000000}</v>
      </c>
    </row>
    <row r="9" spans="1:21" x14ac:dyDescent="0.5">
      <c r="A9" s="1">
        <v>8</v>
      </c>
      <c r="B9" s="1">
        <v>1</v>
      </c>
      <c r="C9" s="1" t="str">
        <f>_xlfn.CONCAT("L_{",Table14[[#This Row],[dm]], "}")</f>
        <v>L_{1}</v>
      </c>
      <c r="D9" s="1" t="str">
        <f>_xlfn.CONCAT("L_tas_", Table14[[#This Row],[dm]])</f>
        <v>L_tas_1</v>
      </c>
      <c r="E9" s="1" t="s">
        <v>37</v>
      </c>
      <c r="F9" s="1" t="str">
        <f>_xlfn.CONCAT("TAS ", Table14[[#This Row],[dm]], " mean processing requests")</f>
        <v>TAS 1 mean processing requests</v>
      </c>
      <c r="G9" s="1" t="str">
        <f>_xlfn.CONCAT("Average number of request in TAS ",Table14[[#This Row],[dm]], " component")</f>
        <v>Average number of request in TAS 1 component</v>
      </c>
      <c r="H9" s="1" t="b">
        <v>1</v>
      </c>
      <c r="I9" s="1" t="s">
        <v>5</v>
      </c>
      <c r="J9" s="1" t="s">
        <v>39</v>
      </c>
      <c r="K9" s="1" t="s">
        <v>7</v>
      </c>
      <c r="L9" s="1">
        <v>1</v>
      </c>
      <c r="M9" s="1">
        <f>Table14[[#This Row],[_min]]+10</f>
        <v>11</v>
      </c>
      <c r="N9" s="1">
        <f>AVERAGE(Table14[[#This Row],[_min]:[_max]])</f>
        <v>6</v>
      </c>
      <c r="O9" s="1" t="str">
        <f>Table14[[#This Row],[_units]]</f>
        <v>req</v>
      </c>
      <c r="P9" s="1">
        <f>Table14[[#This Row],[_min]]</f>
        <v>1</v>
      </c>
      <c r="Q9" s="1">
        <f>Table14[[#This Row],[_max]]</f>
        <v>11</v>
      </c>
      <c r="R9" s="1">
        <f>Table14[[#This Row],[_mean]]</f>
        <v>6</v>
      </c>
      <c r="S9" s="1" t="s">
        <v>35</v>
      </c>
      <c r="T9" s="1" t="str">
        <f>_xlfn.CONCAT("['", C2, "' , '", C3, "' , '", C6, "' , '", C7, "']")</f>
        <v>['\lambda_{1}' , '\mu_{1}' , 'c_{1}' , 'K_{1}']</v>
      </c>
      <c r="U9" s="1" t="str">
        <f>_xlfn.CONCAT("{", "}")</f>
        <v>{}</v>
      </c>
    </row>
    <row r="10" spans="1:21" ht="12.35" customHeight="1" x14ac:dyDescent="0.5">
      <c r="A10" s="1">
        <v>9</v>
      </c>
      <c r="B10" s="1">
        <v>1</v>
      </c>
      <c r="C10" s="1" t="str">
        <f>_xlfn.CONCAT("Lq_{",Table14[[#This Row],[dm]], "}")</f>
        <v>Lq_{1}</v>
      </c>
      <c r="D10" s="1" t="str">
        <f>_xlfn.CONCAT("Lq_tas_", Table14[[#This Row],[dm]])</f>
        <v>Lq_tas_1</v>
      </c>
      <c r="E10" s="1" t="s">
        <v>37</v>
      </c>
      <c r="F10" s="1" t="str">
        <f>_xlfn.CONCAT("TAS ", Table14[[#This Row],[dm]], " mean in memory requests")</f>
        <v>TAS 1 mean in memory requests</v>
      </c>
      <c r="G10" s="1" t="str">
        <f>_xlfn.CONCAT("Average number of request in TAS ",Table14[[#This Row],[dm]], " memory")</f>
        <v>Average number of request in TAS 1 memory</v>
      </c>
      <c r="H10" s="1" t="b">
        <v>0</v>
      </c>
      <c r="I10" s="1" t="s">
        <v>5</v>
      </c>
      <c r="J10" s="1" t="s">
        <v>39</v>
      </c>
      <c r="K10" s="1" t="s">
        <v>7</v>
      </c>
      <c r="L10" s="1">
        <v>1</v>
      </c>
      <c r="M10" s="1">
        <f>Table14[[#This Row],[_min]]+10</f>
        <v>11</v>
      </c>
      <c r="N10" s="1">
        <f>AVERAGE(Table14[[#This Row],[_min]:[_max]])</f>
        <v>6</v>
      </c>
      <c r="O10" s="1" t="str">
        <f>Table14[[#This Row],[_units]]</f>
        <v>req</v>
      </c>
      <c r="P10" s="1">
        <f>Table14[[#This Row],[_min]]</f>
        <v>1</v>
      </c>
      <c r="Q10" s="1">
        <f>Table14[[#This Row],[_max]]</f>
        <v>11</v>
      </c>
      <c r="R10" s="1">
        <f>Table14[[#This Row],[_mean]]</f>
        <v>6</v>
      </c>
      <c r="S10" s="1" t="s">
        <v>35</v>
      </c>
      <c r="T10" s="1" t="str">
        <f>_xlfn.CONCAT("['", C2, "' , '", C3, "' , '", C6, "' , '", C7, "']")</f>
        <v>['\lambda_{1}' , '\mu_{1}' , 'c_{1}' , 'K_{1}']</v>
      </c>
      <c r="U10" s="1" t="str">
        <f>_xlfn.CONCAT("{", "}")</f>
        <v>{}</v>
      </c>
    </row>
    <row r="11" spans="1:21" x14ac:dyDescent="0.5">
      <c r="A11" s="1">
        <v>10</v>
      </c>
      <c r="B11" s="1">
        <v>1</v>
      </c>
      <c r="C11" s="1" t="str">
        <f>_xlfn.CONCAT("W_{",Table14[[#This Row],[dm]], "}")</f>
        <v>W_{1}</v>
      </c>
      <c r="D11" s="1" t="str">
        <f>_xlfn.CONCAT("W_tas_", Table14[[#This Row],[dm]])</f>
        <v>W_tas_1</v>
      </c>
      <c r="E11" s="1" t="s">
        <v>37</v>
      </c>
      <c r="F11" s="1" t="str">
        <f>_xlfn.CONCAT("TAS ", Table14[[#This Row],[dm]], " mean time to answer")</f>
        <v>TAS 1 mean time to answer</v>
      </c>
      <c r="G11" s="1" t="str">
        <f>_xlfn.CONCAT("Average time to complete a request in TAS ",Table14[[#This Row],[dm]])</f>
        <v>Average time to complete a request in TAS 1</v>
      </c>
      <c r="H11" s="1" t="b">
        <v>1</v>
      </c>
      <c r="I11" s="1" t="s">
        <v>6</v>
      </c>
      <c r="J11" s="1" t="s">
        <v>28</v>
      </c>
      <c r="K11" s="1" t="s">
        <v>29</v>
      </c>
      <c r="L11" s="1">
        <v>0</v>
      </c>
      <c r="M11" s="8">
        <v>1.8018018018018001E-3</v>
      </c>
      <c r="N11" s="8">
        <v>1.8018018018018001E-3</v>
      </c>
      <c r="O11" s="1" t="str">
        <f>Table14[[#This Row],[_units]]</f>
        <v>s</v>
      </c>
      <c r="P11" s="1">
        <f>Table14[[#This Row],[_min]]</f>
        <v>0</v>
      </c>
      <c r="Q11" s="1">
        <f>Table14[[#This Row],[_max]]</f>
        <v>1.8018018018018001E-3</v>
      </c>
      <c r="R11" s="1">
        <f>Table14[[#This Row],[_mean]]</f>
        <v>1.8018018018018001E-3</v>
      </c>
      <c r="S11" s="1" t="s">
        <v>34</v>
      </c>
      <c r="T11" s="1" t="str">
        <f>_xlfn.CONCAT("['", C5, "' , '", C9, "']")</f>
        <v>['\chi_{1}' , 'L_{1}']</v>
      </c>
      <c r="U11" s="1" t="str">
        <f>_xlfn.CONCAT("{", "}")</f>
        <v>{}</v>
      </c>
    </row>
    <row r="12" spans="1:21" x14ac:dyDescent="0.5">
      <c r="A12" s="1">
        <v>11</v>
      </c>
      <c r="B12" s="1">
        <v>1</v>
      </c>
      <c r="C12" s="1" t="str">
        <f>_xlfn.CONCAT("Wq_{",Table14[[#This Row],[dm]], "}")</f>
        <v>Wq_{1}</v>
      </c>
      <c r="D12" s="1" t="str">
        <f>_xlfn.CONCAT("Wq_tas_", Table14[[#This Row],[dm]])</f>
        <v>Wq_tas_1</v>
      </c>
      <c r="E12" s="1" t="s">
        <v>37</v>
      </c>
      <c r="F12" s="1" t="str">
        <f>_xlfn.CONCAT("TAS ", Table14[[#This Row],[dm]], " mean time in buffer")</f>
        <v>TAS 1 mean time in buffer</v>
      </c>
      <c r="G12" s="1" t="str">
        <f>_xlfn.CONCAT("Average time for a request to transit the buffer in TAS ",Table14[[#This Row],[dm]])</f>
        <v>Average time for a request to transit the buffer in TAS 1</v>
      </c>
      <c r="H12" s="1" t="b">
        <v>0</v>
      </c>
      <c r="I12" s="1" t="s">
        <v>5</v>
      </c>
      <c r="J12" s="1" t="s">
        <v>28</v>
      </c>
      <c r="K12" s="1" t="s">
        <v>29</v>
      </c>
      <c r="L12" s="1">
        <v>0</v>
      </c>
      <c r="M12" s="8">
        <v>6.9069069069068996E-4</v>
      </c>
      <c r="N12" s="8">
        <v>6.9069069069068996E-4</v>
      </c>
      <c r="O12" s="1" t="str">
        <f>Table14[[#This Row],[_units]]</f>
        <v>s</v>
      </c>
      <c r="P12" s="1">
        <f>Table14[[#This Row],[_min]]</f>
        <v>0</v>
      </c>
      <c r="Q12" s="1">
        <f>Table14[[#This Row],[_max]]</f>
        <v>6.9069069069068996E-4</v>
      </c>
      <c r="R12" s="1">
        <f>Table14[[#This Row],[_mean]]</f>
        <v>6.9069069069068996E-4</v>
      </c>
      <c r="S12" s="1" t="s">
        <v>34</v>
      </c>
      <c r="T12" s="1" t="str">
        <f>_xlfn.CONCAT("['", C5, "' , '", C10, "']")</f>
        <v>['\chi_{1}' , 'Lq_{1}']</v>
      </c>
      <c r="U12" s="1" t="str">
        <f>_xlfn.CONCAT("{", "}")</f>
        <v>{}</v>
      </c>
    </row>
    <row r="13" spans="1:21" x14ac:dyDescent="0.5">
      <c r="A13" s="1">
        <v>12</v>
      </c>
      <c r="B13" s="1">
        <f>B2+1</f>
        <v>2</v>
      </c>
      <c r="C13" s="1" t="str">
        <f>_xlfn.CONCAT("\lambda_{", Table14[[#This Row],[dm]],"}")</f>
        <v>\lambda_{2}</v>
      </c>
      <c r="D13" s="1" t="str">
        <f>_xlfn.CONCAT("lambda_tas_", Table14[[#This Row],[dm]])</f>
        <v>lambda_tas_2</v>
      </c>
      <c r="E13" s="1" t="str">
        <f>E2</f>
        <v>CUSTOM</v>
      </c>
      <c r="F13" s="1" t="str">
        <f>_xlfn.CONCAT("TAS ", Table14[[#This Row],[dm]], " arrival rate")</f>
        <v>TAS 2 arrival rate</v>
      </c>
      <c r="G13" s="1" t="str">
        <f>_xlfn.CONCAT("Arrival rate for TAS ",Table14[[#This Row],[dm]])</f>
        <v>Arrival rate for TAS 2</v>
      </c>
      <c r="H13" s="1" t="b">
        <f>H2</f>
        <v>1</v>
      </c>
      <c r="I13" s="1" t="str">
        <f t="shared" ref="I13:K13" si="1">I2</f>
        <v>IN</v>
      </c>
      <c r="J13" s="1" t="str">
        <f t="shared" si="1"/>
        <v>E*T^-1</v>
      </c>
      <c r="K13" s="1" t="str">
        <f t="shared" si="1"/>
        <v>req/s</v>
      </c>
      <c r="L13" s="1">
        <v>0.1</v>
      </c>
      <c r="M13" s="8">
        <f>2*258.75</f>
        <v>517.5</v>
      </c>
      <c r="N13" s="4">
        <f>AVERAGE(Table14[[#This Row],[_min]:[_max]])</f>
        <v>258.8</v>
      </c>
      <c r="O13" s="1" t="str">
        <f>Table14[[#This Row],[_units]]</f>
        <v>req/s</v>
      </c>
      <c r="P13" s="1">
        <f>Table14[[#This Row],[_min]]</f>
        <v>0.1</v>
      </c>
      <c r="Q13" s="1">
        <f>Table14[[#This Row],[_max]]</f>
        <v>517.5</v>
      </c>
      <c r="R13" s="1">
        <f>Table14[[#This Row],[_mean]]</f>
        <v>258.8</v>
      </c>
      <c r="S13" s="1" t="str">
        <f>S2</f>
        <v>uniform</v>
      </c>
      <c r="T13" s="1" t="str">
        <f t="shared" si="0"/>
        <v>[]</v>
      </c>
      <c r="U13" s="1" t="str">
        <f>_xlfn.CONCAT("{'low': ", Table14[[#This Row],[_std_min]], ", 'high': ",Table14[[#This Row],[_std_max]],"}")</f>
        <v>{'low': 0.1, 'high': 517.5}</v>
      </c>
    </row>
    <row r="14" spans="1:21" x14ac:dyDescent="0.5">
      <c r="A14" s="1">
        <v>13</v>
      </c>
      <c r="B14" s="1">
        <f t="shared" ref="B14:B77" si="2">B3+1</f>
        <v>2</v>
      </c>
      <c r="C14" s="1" t="str">
        <f>_xlfn.CONCAT("\mu_{",Table14[[#This Row],[dm]], "}")</f>
        <v>\mu_{2}</v>
      </c>
      <c r="D14" s="1" t="str">
        <f>_xlfn.CONCAT("mu_tas_", Table14[[#This Row],[dm]])</f>
        <v>mu_tas_2</v>
      </c>
      <c r="E14" s="1" t="str">
        <f t="shared" ref="E14:E77" si="3">E3</f>
        <v>CUSTOM</v>
      </c>
      <c r="F14" s="1" t="str">
        <f>_xlfn.CONCAT("TAS ", Table14[[#This Row],[dm]], " service rate")</f>
        <v>TAS 2 service rate</v>
      </c>
      <c r="G14" s="1" t="str">
        <f>_xlfn.CONCAT("Service rate for TAS ",Table14[[#This Row],[dm]])</f>
        <v>Service rate for TAS 2</v>
      </c>
      <c r="H14" s="1" t="b">
        <f t="shared" ref="H14:K29" si="4">H3</f>
        <v>1</v>
      </c>
      <c r="I14" s="1" t="str">
        <f t="shared" si="4"/>
        <v>CTRL</v>
      </c>
      <c r="J14" s="1" t="str">
        <f t="shared" si="4"/>
        <v>E*T^-1</v>
      </c>
      <c r="K14" s="1" t="str">
        <f t="shared" si="4"/>
        <v>req/s</v>
      </c>
      <c r="L14" s="1">
        <f>0.1*700</f>
        <v>70</v>
      </c>
      <c r="M14" s="5">
        <f>1.9*700</f>
        <v>1330</v>
      </c>
      <c r="N14" s="4">
        <f>AVERAGE(Table14[[#This Row],[_min]:[_max]])</f>
        <v>700</v>
      </c>
      <c r="O14" s="1" t="str">
        <f>Table14[[#This Row],[_units]]</f>
        <v>req/s</v>
      </c>
      <c r="P14" s="1">
        <f>Table14[[#This Row],[_min]]</f>
        <v>70</v>
      </c>
      <c r="Q14" s="1">
        <f>Table14[[#This Row],[_max]]</f>
        <v>1330</v>
      </c>
      <c r="R14" s="1">
        <f>Table14[[#This Row],[_mean]]</f>
        <v>700</v>
      </c>
      <c r="S14" s="1" t="str">
        <f t="shared" ref="S14:S77" si="5">S3</f>
        <v>uniform</v>
      </c>
      <c r="T14" s="1" t="str">
        <f t="shared" si="0"/>
        <v>[]</v>
      </c>
      <c r="U14" s="1" t="str">
        <f>_xlfn.CONCAT("{'low': ", Table14[[#This Row],[_std_min]], ", 'high': ",Table14[[#This Row],[_std_max]],"}")</f>
        <v>{'low': 70, 'high': 1330}</v>
      </c>
    </row>
    <row r="15" spans="1:21" x14ac:dyDescent="0.5">
      <c r="A15" s="1">
        <v>14</v>
      </c>
      <c r="B15" s="1">
        <f t="shared" si="2"/>
        <v>2</v>
      </c>
      <c r="C15" s="1" t="str">
        <f>_xlfn.CONCAT("err_{",Table14[[#This Row],[dm]], "}")</f>
        <v>err_{2}</v>
      </c>
      <c r="D15" s="1" t="str">
        <f>_xlfn.CONCAT("err_tas_", Table14[[#This Row],[dm]])</f>
        <v>err_tas_2</v>
      </c>
      <c r="E15" s="1" t="str">
        <f t="shared" si="3"/>
        <v>CUSTOM</v>
      </c>
      <c r="F15" s="1" t="str">
        <f>_xlfn.CONCAT("TAS ", Table14[[#This Row],[dm]], " error probability")</f>
        <v>TAS 2 error probability</v>
      </c>
      <c r="G15" s="1" t="str">
        <f>_xlfn.CONCAT("Service error probability for TAS ",Table14[[#This Row],[dm]])</f>
        <v>Service error probability for TAS 2</v>
      </c>
      <c r="H15" s="1" t="b">
        <f t="shared" si="4"/>
        <v>0</v>
      </c>
      <c r="I15" s="1" t="str">
        <f t="shared" si="4"/>
        <v>CTRL</v>
      </c>
      <c r="J15" s="1" t="str">
        <f t="shared" si="4"/>
        <v>E*T^-1</v>
      </c>
      <c r="K15" s="1" t="str">
        <f t="shared" si="4"/>
        <v>n.a.</v>
      </c>
      <c r="L15" s="3">
        <v>0</v>
      </c>
      <c r="M15" s="3">
        <v>0</v>
      </c>
      <c r="N15" s="4">
        <f>AVERAGE(Table14[[#This Row],[_min]:[_max]])</f>
        <v>0</v>
      </c>
      <c r="O15" s="1" t="str">
        <f>Table14[[#This Row],[_units]]</f>
        <v>n.a.</v>
      </c>
      <c r="P15" s="2">
        <f>Table14[[#This Row],[_min]]</f>
        <v>0</v>
      </c>
      <c r="Q15" s="2">
        <f>Table14[[#This Row],[_max]]</f>
        <v>0</v>
      </c>
      <c r="R15" s="2">
        <f>Table14[[#This Row],[_mean]]</f>
        <v>0</v>
      </c>
      <c r="S15" s="1" t="str">
        <f t="shared" si="5"/>
        <v>adjusted_uniform</v>
      </c>
      <c r="T15" s="1" t="str">
        <f t="shared" si="0"/>
        <v>[]</v>
      </c>
      <c r="U15" s="1" t="str">
        <f>_xlfn.CONCAT("{'constant': ",Table14[[#This Row],[_std_max]],"}")</f>
        <v>{'constant': 0}</v>
      </c>
    </row>
    <row r="16" spans="1:21" x14ac:dyDescent="0.5">
      <c r="A16" s="1">
        <v>15</v>
      </c>
      <c r="B16" s="1">
        <f t="shared" si="2"/>
        <v>2</v>
      </c>
      <c r="C16" s="1" t="str">
        <f>_xlfn.CONCAT("\chi_{",Table14[[#This Row],[dm]], "}")</f>
        <v>\chi_{2}</v>
      </c>
      <c r="D16" s="1" t="str">
        <f>_xlfn.CONCAT("chi_tas_", Table14[[#This Row],[dm]])</f>
        <v>chi_tas_2</v>
      </c>
      <c r="E16" s="1" t="str">
        <f t="shared" si="3"/>
        <v>CUSTOM</v>
      </c>
      <c r="F16" s="1" t="str">
        <f>_xlfn.CONCAT("TAS ", Table14[[#This Row],[dm]], " departure rate")</f>
        <v>TAS 2 departure rate</v>
      </c>
      <c r="G16" s="1" t="str">
        <f>_xlfn.CONCAT("Departure rate for TAS ",Table14[[#This Row],[dm]])</f>
        <v>Departure rate for TAS 2</v>
      </c>
      <c r="H16" s="1" t="b">
        <f t="shared" si="4"/>
        <v>1</v>
      </c>
      <c r="I16" s="1" t="str">
        <f t="shared" si="4"/>
        <v>CTRL</v>
      </c>
      <c r="J16" s="1" t="str">
        <f t="shared" si="4"/>
        <v>E*T^-1</v>
      </c>
      <c r="K16" s="1" t="str">
        <f t="shared" si="4"/>
        <v>req/s</v>
      </c>
      <c r="L16" s="1">
        <f>0.1*258.75</f>
        <v>25.875</v>
      </c>
      <c r="M16" s="7">
        <f>1.9*258.75</f>
        <v>491.625</v>
      </c>
      <c r="N16" s="4">
        <f>AVERAGE(Table14[[#This Row],[_min]:[_max]])</f>
        <v>258.75</v>
      </c>
      <c r="O16" s="1" t="str">
        <f>Table14[[#This Row],[_units]]</f>
        <v>req/s</v>
      </c>
      <c r="P16" s="1">
        <f>Table14[[#This Row],[_min]]</f>
        <v>25.875</v>
      </c>
      <c r="Q16" s="1">
        <f>Table14[[#This Row],[_max]]</f>
        <v>491.625</v>
      </c>
      <c r="R16" s="1">
        <f>Table14[[#This Row],[_mean]]</f>
        <v>258.75</v>
      </c>
      <c r="S16" s="1" t="str">
        <f t="shared" si="5"/>
        <v>adjusted_rate</v>
      </c>
      <c r="T16" s="1" t="str">
        <f>_xlfn.CONCAT("['", C13, "' , '", C15, "']")</f>
        <v>['\lambda_{2}' , 'err_{2}']</v>
      </c>
      <c r="U16" s="1" t="str">
        <f t="shared" ref="U16" si="6">_xlfn.CONCAT("{", "}")</f>
        <v>{}</v>
      </c>
    </row>
    <row r="17" spans="1:21" x14ac:dyDescent="0.5">
      <c r="A17" s="1">
        <v>16</v>
      </c>
      <c r="B17" s="1">
        <f t="shared" si="2"/>
        <v>2</v>
      </c>
      <c r="C17" s="1" t="str">
        <f>_xlfn.CONCAT("c_{",Table14[[#This Row],[dm]], "}")</f>
        <v>c_{2}</v>
      </c>
      <c r="D17" s="1" t="str">
        <f>_xlfn.CONCAT("c_tas_", Table14[[#This Row],[dm]])</f>
        <v>c_tas_2</v>
      </c>
      <c r="E17" s="1" t="str">
        <f t="shared" si="3"/>
        <v>CUSTOM</v>
      </c>
      <c r="F17" s="1" t="str">
        <f>_xlfn.CONCAT("TAS ", Table14[[#This Row],[dm]], " resourses")</f>
        <v>TAS 2 resourses</v>
      </c>
      <c r="G17" s="1" t="str">
        <f>_xlfn.CONCAT("Number of resources allocated in TAS ",Table14[[#This Row],[dm]])</f>
        <v>Number of resources allocated in TAS 2</v>
      </c>
      <c r="H17" s="1" t="b">
        <f t="shared" si="4"/>
        <v>1</v>
      </c>
      <c r="I17" s="1" t="str">
        <f t="shared" si="4"/>
        <v>IN</v>
      </c>
      <c r="J17" s="1" t="str">
        <f t="shared" si="4"/>
        <v>E</v>
      </c>
      <c r="K17" s="1" t="str">
        <f t="shared" si="4"/>
        <v>req</v>
      </c>
      <c r="L17" s="1">
        <v>1</v>
      </c>
      <c r="M17" s="1">
        <f>Table14[[#This Row],[_min]]+2</f>
        <v>3</v>
      </c>
      <c r="N17" s="4">
        <f>AVERAGE(Table14[[#This Row],[_min]:[_max]])</f>
        <v>2</v>
      </c>
      <c r="O17" s="1" t="str">
        <f>Table14[[#This Row],[_units]]</f>
        <v>req</v>
      </c>
      <c r="P17" s="1">
        <f>Table14[[#This Row],[_min]]</f>
        <v>1</v>
      </c>
      <c r="Q17" s="1">
        <f>Table14[[#This Row],[_max]]</f>
        <v>3</v>
      </c>
      <c r="R17" s="1">
        <f>Table14[[#This Row],[_mean]]</f>
        <v>2</v>
      </c>
      <c r="S17" s="1" t="str">
        <f t="shared" si="5"/>
        <v>uniform_int</v>
      </c>
      <c r="T17" s="1" t="str">
        <f t="shared" si="0"/>
        <v>[]</v>
      </c>
      <c r="U17" s="1" t="str">
        <f>_xlfn.CONCAT("{'low': ", Table14[[#This Row],[_std_min]], ", 'high': ",Table14[[#This Row],[_std_max]],"}")</f>
        <v>{'low': 1, 'high': 3}</v>
      </c>
    </row>
    <row r="18" spans="1:21" x14ac:dyDescent="0.5">
      <c r="A18" s="1">
        <v>17</v>
      </c>
      <c r="B18" s="1">
        <f t="shared" si="2"/>
        <v>2</v>
      </c>
      <c r="C18" s="1" t="str">
        <f>_xlfn.CONCAT("K_{",Table14[[#This Row],[dm]],"}")</f>
        <v>K_{2}</v>
      </c>
      <c r="D18" s="1" t="str">
        <f>_xlfn.CONCAT("K_tas_", Table14[[#This Row],[dm]])</f>
        <v>K_tas_2</v>
      </c>
      <c r="E18" s="1" t="str">
        <f t="shared" si="3"/>
        <v>CUSTOM</v>
      </c>
      <c r="F18" s="1" t="str">
        <f>_xlfn.CONCAT("TAS ", Table14[[#This Row],[dm]], " q-capacity")</f>
        <v>TAS 2 q-capacity</v>
      </c>
      <c r="G18" s="1" t="str">
        <f>_xlfn.CONCAT("Allocated request capacity in TAS ",Table14[[#This Row],[dm]]," memory buffer")</f>
        <v>Allocated request capacity in TAS 2 memory buffer</v>
      </c>
      <c r="H18" s="1" t="b">
        <f t="shared" si="4"/>
        <v>1</v>
      </c>
      <c r="I18" s="1" t="str">
        <f t="shared" si="4"/>
        <v>CTRL</v>
      </c>
      <c r="J18" s="1" t="str">
        <f t="shared" si="4"/>
        <v>E</v>
      </c>
      <c r="K18" s="1" t="str">
        <f t="shared" si="4"/>
        <v>req</v>
      </c>
      <c r="L18" s="1">
        <v>1</v>
      </c>
      <c r="M18" s="1">
        <f>Table14[[#This Row],[_min]]+10</f>
        <v>11</v>
      </c>
      <c r="N18" s="4">
        <f>AVERAGE(Table14[[#This Row],[_min]:[_max]])</f>
        <v>6</v>
      </c>
      <c r="O18" s="1" t="str">
        <f>Table14[[#This Row],[_units]]</f>
        <v>req</v>
      </c>
      <c r="P18" s="1">
        <f>Table14[[#This Row],[_min]]</f>
        <v>1</v>
      </c>
      <c r="Q18" s="1">
        <f>Table14[[#This Row],[_max]]</f>
        <v>11</v>
      </c>
      <c r="R18" s="1">
        <f>Table14[[#This Row],[_mean]]</f>
        <v>6</v>
      </c>
      <c r="S18" s="1" t="str">
        <f t="shared" si="5"/>
        <v>shifted_uniform_int</v>
      </c>
      <c r="T18" s="1" t="str">
        <f>_xlfn.CONCAT("['", C17, "']")</f>
        <v>['c_{2}']</v>
      </c>
      <c r="U18" s="1" t="str">
        <f>_xlfn.CONCAT("{'low': ", Table14[[#This Row],[_std_min]], ", 'high': ",Table14[[#This Row],[_std_max]],"}")</f>
        <v>{'low': 1, 'high': 11}</v>
      </c>
    </row>
    <row r="19" spans="1:21" x14ac:dyDescent="0.5">
      <c r="A19" s="1">
        <v>18</v>
      </c>
      <c r="B19" s="1">
        <f t="shared" si="2"/>
        <v>2</v>
      </c>
      <c r="C19" s="1" t="str">
        <f>_xlfn.CONCAT("\delta_{", Table14[[#This Row],[dm]],"}")</f>
        <v>\delta_{2}</v>
      </c>
      <c r="D19" s="1" t="str">
        <f>_xlfn.CONCAT("delta_tas_", Table14[[#This Row],[dm]])</f>
        <v>delta_tas_2</v>
      </c>
      <c r="E19" s="1" t="str">
        <f t="shared" si="3"/>
        <v>CUSTOM</v>
      </c>
      <c r="F19" s="1" t="str">
        <f>_xlfn.CONCAT("TAS ", Table14[[#This Row],[dm]], " req data density")</f>
        <v>TAS 2 req data density</v>
      </c>
      <c r="G19" s="1" t="str">
        <f>_xlfn.CONCAT("Data density for request in TAS ", Table14[[#This Row],[dm]], " expected data per requests")</f>
        <v>Data density for request in TAS 2 expected data per requests</v>
      </c>
      <c r="H19" s="1" t="b">
        <f t="shared" si="4"/>
        <v>0</v>
      </c>
      <c r="I19" s="1" t="str">
        <f t="shared" si="4"/>
        <v>IN</v>
      </c>
      <c r="J19" s="1" t="str">
        <f t="shared" si="4"/>
        <v>D*E^-1</v>
      </c>
      <c r="K19" s="1" t="str">
        <f t="shared" si="4"/>
        <v>kB/req</v>
      </c>
      <c r="L19" s="1">
        <v>128</v>
      </c>
      <c r="M19" s="1">
        <f>2*1000</f>
        <v>2000</v>
      </c>
      <c r="N19" s="4">
        <f>AVERAGE(Table14[[#This Row],[_min]:[_max]])</f>
        <v>1064</v>
      </c>
      <c r="O19" s="1" t="s">
        <v>11</v>
      </c>
      <c r="P19" s="1">
        <f>Table14[[#This Row],[_min]]*1024000</f>
        <v>131072000</v>
      </c>
      <c r="Q19" s="1">
        <f>Table14[[#This Row],[_max]]*1024000</f>
        <v>2048000000</v>
      </c>
      <c r="R19" s="1">
        <f>Table14[[#This Row],[_mean]]*1024000</f>
        <v>1089536000</v>
      </c>
      <c r="S19" s="1" t="str">
        <f t="shared" si="5"/>
        <v>uniform</v>
      </c>
      <c r="T19" s="1" t="str">
        <f t="shared" si="0"/>
        <v>[]</v>
      </c>
      <c r="U19" s="1" t="str">
        <f>_xlfn.CONCAT("{'low': ", Table14[[#This Row],[_std_min]], ", 'high': ",Table14[[#This Row],[_std_max]],"}")</f>
        <v>{'low': 131072000, 'high': 2048000000}</v>
      </c>
    </row>
    <row r="20" spans="1:21" x14ac:dyDescent="0.5">
      <c r="A20" s="1">
        <v>19</v>
      </c>
      <c r="B20" s="1">
        <f t="shared" si="2"/>
        <v>2</v>
      </c>
      <c r="C20" s="1" t="str">
        <f>_xlfn.CONCAT("L_{",Table14[[#This Row],[dm]], "}")</f>
        <v>L_{2}</v>
      </c>
      <c r="D20" s="1" t="str">
        <f>_xlfn.CONCAT("L_tas_", Table14[[#This Row],[dm]])</f>
        <v>L_tas_2</v>
      </c>
      <c r="E20" s="1" t="str">
        <f t="shared" si="3"/>
        <v>CUSTOM</v>
      </c>
      <c r="F20" s="1" t="str">
        <f>_xlfn.CONCAT("TAS ", Table14[[#This Row],[dm]], " mean processing requests")</f>
        <v>TAS 2 mean processing requests</v>
      </c>
      <c r="G20" s="1" t="str">
        <f>_xlfn.CONCAT("Average number of request in TAS ",Table14[[#This Row],[dm]], " component")</f>
        <v>Average number of request in TAS 2 component</v>
      </c>
      <c r="H20" s="1" t="b">
        <f t="shared" si="4"/>
        <v>1</v>
      </c>
      <c r="I20" s="1" t="str">
        <f t="shared" si="4"/>
        <v>CTRL</v>
      </c>
      <c r="J20" s="1" t="str">
        <f t="shared" si="4"/>
        <v>E</v>
      </c>
      <c r="K20" s="1" t="str">
        <f t="shared" si="4"/>
        <v>req</v>
      </c>
      <c r="L20" s="1">
        <v>1</v>
      </c>
      <c r="M20" s="1">
        <f>Table14[[#This Row],[_min]]+10</f>
        <v>11</v>
      </c>
      <c r="N20" s="4">
        <f>AVERAGE(Table14[[#This Row],[_min]:[_max]])</f>
        <v>6</v>
      </c>
      <c r="O20" s="1" t="str">
        <f>Table14[[#This Row],[_units]]</f>
        <v>req</v>
      </c>
      <c r="P20" s="1">
        <f>Table14[[#This Row],[_min]]</f>
        <v>1</v>
      </c>
      <c r="Q20" s="1">
        <f>Table14[[#This Row],[_max]]</f>
        <v>11</v>
      </c>
      <c r="R20" s="1">
        <f>Table14[[#This Row],[_mean]]</f>
        <v>6</v>
      </c>
      <c r="S20" s="1" t="str">
        <f t="shared" si="5"/>
        <v>queue_length</v>
      </c>
      <c r="T20" s="1" t="str">
        <f>_xlfn.CONCAT("['", C13, "' , '", C14, "' , '", C17, "' , '", C18, "']")</f>
        <v>['\lambda_{2}' , '\mu_{2}' , 'c_{2}' , 'K_{2}']</v>
      </c>
      <c r="U20" s="1" t="str">
        <f t="shared" ref="U20:U23" si="7">_xlfn.CONCAT("{", "}")</f>
        <v>{}</v>
      </c>
    </row>
    <row r="21" spans="1:21" x14ac:dyDescent="0.5">
      <c r="A21" s="1">
        <v>20</v>
      </c>
      <c r="B21" s="1">
        <f t="shared" si="2"/>
        <v>2</v>
      </c>
      <c r="C21" s="1" t="str">
        <f>_xlfn.CONCAT("Lq_{",Table14[[#This Row],[dm]], "}")</f>
        <v>Lq_{2}</v>
      </c>
      <c r="D21" s="1" t="str">
        <f>_xlfn.CONCAT("Lq_tas_", Table14[[#This Row],[dm]])</f>
        <v>Lq_tas_2</v>
      </c>
      <c r="E21" s="1" t="str">
        <f t="shared" si="3"/>
        <v>CUSTOM</v>
      </c>
      <c r="F21" s="1" t="str">
        <f>_xlfn.CONCAT("TAS ", Table14[[#This Row],[dm]], " mean in memory requests")</f>
        <v>TAS 2 mean in memory requests</v>
      </c>
      <c r="G21" s="1" t="str">
        <f>_xlfn.CONCAT("Average number of request in TAS ",Table14[[#This Row],[dm]], " memory")</f>
        <v>Average number of request in TAS 2 memory</v>
      </c>
      <c r="H21" s="1" t="b">
        <f t="shared" si="4"/>
        <v>0</v>
      </c>
      <c r="I21" s="1" t="str">
        <f t="shared" si="4"/>
        <v>CTRL</v>
      </c>
      <c r="J21" s="1" t="str">
        <f t="shared" si="4"/>
        <v>E</v>
      </c>
      <c r="K21" s="1" t="str">
        <f t="shared" si="4"/>
        <v>req</v>
      </c>
      <c r="L21" s="1">
        <v>1</v>
      </c>
      <c r="M21" s="1">
        <f>Table14[[#This Row],[_min]]+10</f>
        <v>11</v>
      </c>
      <c r="N21" s="4">
        <f>AVERAGE(Table14[[#This Row],[_min]:[_max]])</f>
        <v>6</v>
      </c>
      <c r="O21" s="1" t="str">
        <f>Table14[[#This Row],[_units]]</f>
        <v>req</v>
      </c>
      <c r="P21" s="1">
        <f>Table14[[#This Row],[_min]]</f>
        <v>1</v>
      </c>
      <c r="Q21" s="1">
        <f>Table14[[#This Row],[_max]]</f>
        <v>11</v>
      </c>
      <c r="R21" s="1">
        <f>Table14[[#This Row],[_mean]]</f>
        <v>6</v>
      </c>
      <c r="S21" s="1" t="str">
        <f t="shared" si="5"/>
        <v>queue_length</v>
      </c>
      <c r="T21" s="1" t="str">
        <f>_xlfn.CONCAT("['", C13, "' , '", C14, "' , '", C17, "' , '", C18, "']")</f>
        <v>['\lambda_{2}' , '\mu_{2}' , 'c_{2}' , 'K_{2}']</v>
      </c>
      <c r="U21" s="1" t="str">
        <f t="shared" si="7"/>
        <v>{}</v>
      </c>
    </row>
    <row r="22" spans="1:21" x14ac:dyDescent="0.5">
      <c r="A22" s="1">
        <v>21</v>
      </c>
      <c r="B22" s="1">
        <f t="shared" si="2"/>
        <v>2</v>
      </c>
      <c r="C22" s="1" t="str">
        <f>_xlfn.CONCAT("W_{",Table14[[#This Row],[dm]], "}")</f>
        <v>W_{2}</v>
      </c>
      <c r="D22" s="1" t="str">
        <f>_xlfn.CONCAT("W_tas_", Table14[[#This Row],[dm]])</f>
        <v>W_tas_2</v>
      </c>
      <c r="E22" s="1" t="str">
        <f t="shared" si="3"/>
        <v>CUSTOM</v>
      </c>
      <c r="F22" s="1" t="str">
        <f>_xlfn.CONCAT("TAS ", Table14[[#This Row],[dm]], " mean time to answer")</f>
        <v>TAS 2 mean time to answer</v>
      </c>
      <c r="G22" s="1" t="str">
        <f>_xlfn.CONCAT("Average time to complete a request in TAS ",Table14[[#This Row],[dm]])</f>
        <v>Average time to complete a request in TAS 2</v>
      </c>
      <c r="H22" s="1" t="b">
        <f t="shared" si="4"/>
        <v>1</v>
      </c>
      <c r="I22" s="1" t="str">
        <f t="shared" si="4"/>
        <v>OUT</v>
      </c>
      <c r="J22" s="1" t="str">
        <f t="shared" si="4"/>
        <v>T</v>
      </c>
      <c r="K22" s="1" t="str">
        <f t="shared" si="4"/>
        <v>s</v>
      </c>
      <c r="L22" s="1">
        <v>0</v>
      </c>
      <c r="M22" s="8">
        <v>2.2662889518413601E-3</v>
      </c>
      <c r="N22" s="8">
        <v>2.2662889518413601E-3</v>
      </c>
      <c r="O22" s="1" t="str">
        <f>Table14[[#This Row],[_units]]</f>
        <v>s</v>
      </c>
      <c r="P22" s="1">
        <f>Table14[[#This Row],[_min]]</f>
        <v>0</v>
      </c>
      <c r="Q22" s="1">
        <f>Table14[[#This Row],[_max]]</f>
        <v>2.2662889518413601E-3</v>
      </c>
      <c r="R22" s="1">
        <f>Table14[[#This Row],[_mean]]</f>
        <v>2.2662889518413601E-3</v>
      </c>
      <c r="S22" s="1" t="str">
        <f t="shared" si="5"/>
        <v>queue_time</v>
      </c>
      <c r="T22" s="1" t="str">
        <f>_xlfn.CONCAT("['", C16, "' , '", C20, "']")</f>
        <v>['\chi_{2}' , 'L_{2}']</v>
      </c>
      <c r="U22" s="1" t="str">
        <f t="shared" si="7"/>
        <v>{}</v>
      </c>
    </row>
    <row r="23" spans="1:21" x14ac:dyDescent="0.5">
      <c r="A23" s="1">
        <v>22</v>
      </c>
      <c r="B23" s="1">
        <f t="shared" si="2"/>
        <v>2</v>
      </c>
      <c r="C23" s="1" t="str">
        <f>_xlfn.CONCAT("Wq_{",Table14[[#This Row],[dm]], "}")</f>
        <v>Wq_{2}</v>
      </c>
      <c r="D23" s="1" t="str">
        <f>_xlfn.CONCAT("Wq_tas_", Table14[[#This Row],[dm]])</f>
        <v>Wq_tas_2</v>
      </c>
      <c r="E23" s="1" t="str">
        <f t="shared" si="3"/>
        <v>CUSTOM</v>
      </c>
      <c r="F23" s="1" t="str">
        <f>_xlfn.CONCAT("TAS ", Table14[[#This Row],[dm]], " mean time in buffer")</f>
        <v>TAS 2 mean time in buffer</v>
      </c>
      <c r="G23" s="1" t="str">
        <f>_xlfn.CONCAT("Average time for a request to transit the buffer in TAS ",Table14[[#This Row],[dm]])</f>
        <v>Average time for a request to transit the buffer in TAS 2</v>
      </c>
      <c r="H23" s="1" t="b">
        <f t="shared" si="4"/>
        <v>0</v>
      </c>
      <c r="I23" s="1" t="str">
        <f t="shared" si="4"/>
        <v>CTRL</v>
      </c>
      <c r="J23" s="1" t="str">
        <f t="shared" si="4"/>
        <v>T</v>
      </c>
      <c r="K23" s="1" t="str">
        <f t="shared" si="4"/>
        <v>s</v>
      </c>
      <c r="L23" s="1">
        <v>0</v>
      </c>
      <c r="M23" s="8">
        <v>8.3771752326993105E-4</v>
      </c>
      <c r="N23" s="8">
        <v>8.3771752326993105E-4</v>
      </c>
      <c r="O23" s="1" t="str">
        <f>Table14[[#This Row],[_units]]</f>
        <v>s</v>
      </c>
      <c r="P23" s="1">
        <f>Table14[[#This Row],[_min]]</f>
        <v>0</v>
      </c>
      <c r="Q23" s="1">
        <f>Table14[[#This Row],[_max]]</f>
        <v>8.3771752326993105E-4</v>
      </c>
      <c r="R23" s="1">
        <f>Table14[[#This Row],[_mean]]</f>
        <v>8.3771752326993105E-4</v>
      </c>
      <c r="S23" s="1" t="str">
        <f t="shared" si="5"/>
        <v>queue_time</v>
      </c>
      <c r="T23" s="1" t="str">
        <f>_xlfn.CONCAT("['", C16, "' , '", C21, "']")</f>
        <v>['\chi_{2}' , 'Lq_{2}']</v>
      </c>
      <c r="U23" s="1" t="str">
        <f t="shared" si="7"/>
        <v>{}</v>
      </c>
    </row>
    <row r="24" spans="1:21" x14ac:dyDescent="0.5">
      <c r="A24" s="1">
        <v>23</v>
      </c>
      <c r="B24" s="1">
        <f t="shared" si="2"/>
        <v>3</v>
      </c>
      <c r="C24" s="1" t="str">
        <f>_xlfn.CONCAT("\lambda_{", Table14[[#This Row],[dm]],"}")</f>
        <v>\lambda_{3}</v>
      </c>
      <c r="D24" s="1" t="str">
        <f>_xlfn.CONCAT("lambda_tas_", Table14[[#This Row],[dm]])</f>
        <v>lambda_tas_3</v>
      </c>
      <c r="E24" s="1" t="str">
        <f t="shared" si="3"/>
        <v>CUSTOM</v>
      </c>
      <c r="F24" s="1" t="str">
        <f>_xlfn.CONCAT("TAS ", Table14[[#This Row],[dm]], " arrival rate")</f>
        <v>TAS 3 arrival rate</v>
      </c>
      <c r="G24" s="1" t="str">
        <f>_xlfn.CONCAT("Arrival rate for TAS ",Table14[[#This Row],[dm]])</f>
        <v>Arrival rate for TAS 3</v>
      </c>
      <c r="H24" s="1" t="b">
        <f t="shared" si="4"/>
        <v>1</v>
      </c>
      <c r="I24" s="1" t="str">
        <f t="shared" si="4"/>
        <v>IN</v>
      </c>
      <c r="J24" s="1" t="str">
        <f t="shared" si="4"/>
        <v>E*T^-1</v>
      </c>
      <c r="K24" s="1" t="str">
        <f t="shared" si="4"/>
        <v>req/s</v>
      </c>
      <c r="L24" s="1">
        <v>0.1</v>
      </c>
      <c r="M24" s="8">
        <f>2*174.225</f>
        <v>348.45</v>
      </c>
      <c r="N24" s="8">
        <f>AVERAGE(Table14[[#This Row],[_min]:[_max]])</f>
        <v>174.27500000000001</v>
      </c>
      <c r="O24" s="1" t="str">
        <f>Table14[[#This Row],[_units]]</f>
        <v>req/s</v>
      </c>
      <c r="P24" s="1">
        <f>Table14[[#This Row],[_min]]</f>
        <v>0.1</v>
      </c>
      <c r="Q24" s="1">
        <f>Table14[[#This Row],[_max]]</f>
        <v>348.45</v>
      </c>
      <c r="R24" s="1">
        <f>Table14[[#This Row],[_mean]]</f>
        <v>174.27500000000001</v>
      </c>
      <c r="S24" s="1" t="str">
        <f t="shared" si="5"/>
        <v>uniform</v>
      </c>
      <c r="T24" s="1" t="str">
        <f t="shared" si="0"/>
        <v>[]</v>
      </c>
      <c r="U24" s="1" t="str">
        <f>_xlfn.CONCAT("{'low': ", Table14[[#This Row],[_std_min]], ", 'high': ",Table14[[#This Row],[_std_max]],"}")</f>
        <v>{'low': 0.1, 'high': 348.45}</v>
      </c>
    </row>
    <row r="25" spans="1:21" x14ac:dyDescent="0.5">
      <c r="A25" s="1">
        <v>24</v>
      </c>
      <c r="B25" s="1">
        <f t="shared" si="2"/>
        <v>3</v>
      </c>
      <c r="C25" s="1" t="str">
        <f>_xlfn.CONCAT("\mu_{",Table14[[#This Row],[dm]], "}")</f>
        <v>\mu_{3}</v>
      </c>
      <c r="D25" s="1" t="str">
        <f>_xlfn.CONCAT("mu_tas_", Table14[[#This Row],[dm]])</f>
        <v>mu_tas_3</v>
      </c>
      <c r="E25" s="1" t="str">
        <f t="shared" si="3"/>
        <v>CUSTOM</v>
      </c>
      <c r="F25" s="1" t="str">
        <f>_xlfn.CONCAT("TAS ", Table14[[#This Row],[dm]], " service rate")</f>
        <v>TAS 3 service rate</v>
      </c>
      <c r="G25" s="1" t="str">
        <f>_xlfn.CONCAT("Service rate for TAS ",Table14[[#This Row],[dm]])</f>
        <v>Service rate for TAS 3</v>
      </c>
      <c r="H25" s="1" t="b">
        <f t="shared" si="4"/>
        <v>1</v>
      </c>
      <c r="I25" s="1" t="str">
        <f t="shared" si="4"/>
        <v>CTRL</v>
      </c>
      <c r="J25" s="1" t="str">
        <f t="shared" si="4"/>
        <v>E*T^-1</v>
      </c>
      <c r="K25" s="1" t="str">
        <f t="shared" si="4"/>
        <v>req/s</v>
      </c>
      <c r="L25" s="1">
        <f>0.1*700</f>
        <v>70</v>
      </c>
      <c r="M25" s="5">
        <f>1.9*700</f>
        <v>1330</v>
      </c>
      <c r="N25" s="4">
        <f>AVERAGE(Table14[[#This Row],[_min]:[_max]])</f>
        <v>700</v>
      </c>
      <c r="O25" s="1" t="str">
        <f>Table14[[#This Row],[_units]]</f>
        <v>req/s</v>
      </c>
      <c r="P25" s="1">
        <f>Table14[[#This Row],[_min]]</f>
        <v>70</v>
      </c>
      <c r="Q25" s="1">
        <f>Table14[[#This Row],[_max]]</f>
        <v>1330</v>
      </c>
      <c r="R25" s="1">
        <f>Table14[[#This Row],[_mean]]</f>
        <v>700</v>
      </c>
      <c r="S25" s="1" t="str">
        <f t="shared" si="5"/>
        <v>uniform</v>
      </c>
      <c r="T25" s="1" t="str">
        <f t="shared" si="0"/>
        <v>[]</v>
      </c>
      <c r="U25" s="1" t="str">
        <f>_xlfn.CONCAT("{'low': ", Table14[[#This Row],[_std_min]], ", 'high': ",Table14[[#This Row],[_std_max]],"}")</f>
        <v>{'low': 70, 'high': 1330}</v>
      </c>
    </row>
    <row r="26" spans="1:21" x14ac:dyDescent="0.5">
      <c r="A26" s="1">
        <v>25</v>
      </c>
      <c r="B26" s="1">
        <f t="shared" si="2"/>
        <v>3</v>
      </c>
      <c r="C26" s="1" t="str">
        <f>_xlfn.CONCAT("err_{",Table14[[#This Row],[dm]], "}")</f>
        <v>err_{3}</v>
      </c>
      <c r="D26" s="1" t="str">
        <f>_xlfn.CONCAT("err_tas_", Table14[[#This Row],[dm]])</f>
        <v>err_tas_3</v>
      </c>
      <c r="E26" s="1" t="str">
        <f t="shared" si="3"/>
        <v>CUSTOM</v>
      </c>
      <c r="F26" s="1" t="str">
        <f>_xlfn.CONCAT("TAS ", Table14[[#This Row],[dm]], " error probability")</f>
        <v>TAS 3 error probability</v>
      </c>
      <c r="G26" s="1" t="str">
        <f>_xlfn.CONCAT("Service error probability for TAS ",Table14[[#This Row],[dm]])</f>
        <v>Service error probability for TAS 3</v>
      </c>
      <c r="H26" s="1" t="b">
        <f t="shared" si="4"/>
        <v>0</v>
      </c>
      <c r="I26" s="1" t="str">
        <f t="shared" si="4"/>
        <v>CTRL</v>
      </c>
      <c r="J26" s="1" t="str">
        <f t="shared" si="4"/>
        <v>E*T^-1</v>
      </c>
      <c r="K26" s="1" t="str">
        <f t="shared" si="4"/>
        <v>n.a.</v>
      </c>
      <c r="L26" s="3">
        <v>0</v>
      </c>
      <c r="M26" s="3">
        <v>0</v>
      </c>
      <c r="N26" s="3">
        <v>0</v>
      </c>
      <c r="O26" s="1" t="str">
        <f>Table14[[#This Row],[_units]]</f>
        <v>n.a.</v>
      </c>
      <c r="P26" s="1">
        <f>Table14[[#This Row],[_min]]</f>
        <v>0</v>
      </c>
      <c r="Q26" s="1">
        <f>Table14[[#This Row],[_max]]</f>
        <v>0</v>
      </c>
      <c r="R26" s="1">
        <f>Table14[[#This Row],[_mean]]</f>
        <v>0</v>
      </c>
      <c r="S26" s="1" t="str">
        <f t="shared" si="5"/>
        <v>adjusted_uniform</v>
      </c>
      <c r="T26" s="1" t="str">
        <f t="shared" si="0"/>
        <v>[]</v>
      </c>
      <c r="U26" s="1" t="str">
        <f>_xlfn.CONCAT("{'constant': ",Table14[[#This Row],[_std_max]],"}")</f>
        <v>{'constant': 0}</v>
      </c>
    </row>
    <row r="27" spans="1:21" x14ac:dyDescent="0.5">
      <c r="A27" s="1">
        <v>26</v>
      </c>
      <c r="B27" s="1">
        <f t="shared" si="2"/>
        <v>3</v>
      </c>
      <c r="C27" s="1" t="str">
        <f>_xlfn.CONCAT("\chi_{",Table14[[#This Row],[dm]], "}")</f>
        <v>\chi_{3}</v>
      </c>
      <c r="D27" s="1" t="str">
        <f>_xlfn.CONCAT("chi_tas_", Table14[[#This Row],[dm]])</f>
        <v>chi_tas_3</v>
      </c>
      <c r="E27" s="1" t="str">
        <f t="shared" si="3"/>
        <v>CUSTOM</v>
      </c>
      <c r="F27" s="1" t="str">
        <f>_xlfn.CONCAT("TAS ", Table14[[#This Row],[dm]], " departure rate")</f>
        <v>TAS 3 departure rate</v>
      </c>
      <c r="G27" s="1" t="str">
        <f>_xlfn.CONCAT("Departure rate for TAS ",Table14[[#This Row],[dm]])</f>
        <v>Departure rate for TAS 3</v>
      </c>
      <c r="H27" s="1" t="b">
        <f t="shared" si="4"/>
        <v>1</v>
      </c>
      <c r="I27" s="1" t="str">
        <f t="shared" si="4"/>
        <v>CTRL</v>
      </c>
      <c r="J27" s="1" t="str">
        <f t="shared" si="4"/>
        <v>E*T^-1</v>
      </c>
      <c r="K27" s="1" t="str">
        <f t="shared" si="4"/>
        <v>req/s</v>
      </c>
      <c r="L27" s="1">
        <f>0.1*173.34525</f>
        <v>17.334524999999999</v>
      </c>
      <c r="M27" s="7">
        <f>1.9*174.225</f>
        <v>331.02749999999997</v>
      </c>
      <c r="N27" s="6">
        <f>AVERAGE(Table14[[#This Row],[_min]:[_max]])</f>
        <v>174.18101249999998</v>
      </c>
      <c r="O27" s="1" t="str">
        <f>Table14[[#This Row],[_units]]</f>
        <v>req/s</v>
      </c>
      <c r="P27" s="1">
        <f>Table14[[#This Row],[_min]]</f>
        <v>17.334524999999999</v>
      </c>
      <c r="Q27" s="1">
        <f>Table14[[#This Row],[_max]]</f>
        <v>331.02749999999997</v>
      </c>
      <c r="R27" s="1">
        <f>Table14[[#This Row],[_mean]]</f>
        <v>174.18101249999998</v>
      </c>
      <c r="S27" s="1" t="str">
        <f t="shared" si="5"/>
        <v>adjusted_rate</v>
      </c>
      <c r="T27" s="1" t="str">
        <f t="shared" ref="T27" si="8">_xlfn.CONCAT("['", C24, "' , '", C26, "']")</f>
        <v>['\lambda_{3}' , 'err_{3}']</v>
      </c>
      <c r="U27" s="1" t="str">
        <f t="shared" ref="U27" si="9">_xlfn.CONCAT("{", "}")</f>
        <v>{}</v>
      </c>
    </row>
    <row r="28" spans="1:21" x14ac:dyDescent="0.5">
      <c r="A28" s="1">
        <v>27</v>
      </c>
      <c r="B28" s="1">
        <f t="shared" si="2"/>
        <v>3</v>
      </c>
      <c r="C28" s="1" t="str">
        <f>_xlfn.CONCAT("c_{",Table14[[#This Row],[dm]], "}")</f>
        <v>c_{3}</v>
      </c>
      <c r="D28" s="1" t="str">
        <f>_xlfn.CONCAT("c_tas_", Table14[[#This Row],[dm]])</f>
        <v>c_tas_3</v>
      </c>
      <c r="E28" s="1" t="str">
        <f t="shared" si="3"/>
        <v>CUSTOM</v>
      </c>
      <c r="F28" s="1" t="str">
        <f>_xlfn.CONCAT("TAS ", Table14[[#This Row],[dm]], " resourses")</f>
        <v>TAS 3 resourses</v>
      </c>
      <c r="G28" s="1" t="str">
        <f>_xlfn.CONCAT("Number of resources allocated in TAS ",Table14[[#This Row],[dm]])</f>
        <v>Number of resources allocated in TAS 3</v>
      </c>
      <c r="H28" s="1" t="b">
        <f t="shared" si="4"/>
        <v>1</v>
      </c>
      <c r="I28" s="1" t="str">
        <f t="shared" si="4"/>
        <v>IN</v>
      </c>
      <c r="J28" s="1" t="str">
        <f t="shared" si="4"/>
        <v>E</v>
      </c>
      <c r="K28" s="1" t="str">
        <f t="shared" si="4"/>
        <v>req</v>
      </c>
      <c r="L28" s="1">
        <v>1</v>
      </c>
      <c r="M28" s="1">
        <f>Table14[[#This Row],[_min]]+2</f>
        <v>3</v>
      </c>
      <c r="N28" s="1">
        <f>AVERAGE(Table14[[#This Row],[_min]:[_max]])</f>
        <v>2</v>
      </c>
      <c r="O28" s="1" t="str">
        <f>Table14[[#This Row],[_units]]</f>
        <v>req</v>
      </c>
      <c r="P28" s="1">
        <f>Table14[[#This Row],[_min]]</f>
        <v>1</v>
      </c>
      <c r="Q28" s="1">
        <f>Table14[[#This Row],[_max]]</f>
        <v>3</v>
      </c>
      <c r="R28" s="1">
        <f>Table14[[#This Row],[_mean]]</f>
        <v>2</v>
      </c>
      <c r="S28" s="1" t="str">
        <f t="shared" si="5"/>
        <v>uniform_int</v>
      </c>
      <c r="T28" s="1" t="str">
        <f t="shared" si="0"/>
        <v>[]</v>
      </c>
      <c r="U28" s="1" t="str">
        <f>_xlfn.CONCAT("{'low': ", Table14[[#This Row],[_std_min]], ", 'high': ",Table14[[#This Row],[_std_max]],"}")</f>
        <v>{'low': 1, 'high': 3}</v>
      </c>
    </row>
    <row r="29" spans="1:21" x14ac:dyDescent="0.5">
      <c r="A29" s="1">
        <v>28</v>
      </c>
      <c r="B29" s="1">
        <f t="shared" si="2"/>
        <v>3</v>
      </c>
      <c r="C29" s="1" t="str">
        <f>_xlfn.CONCAT("K_{",Table14[[#This Row],[dm]],"}")</f>
        <v>K_{3}</v>
      </c>
      <c r="D29" s="1" t="str">
        <f>_xlfn.CONCAT("K_tas_", Table14[[#This Row],[dm]])</f>
        <v>K_tas_3</v>
      </c>
      <c r="E29" s="1" t="str">
        <f t="shared" si="3"/>
        <v>CUSTOM</v>
      </c>
      <c r="F29" s="1" t="str">
        <f>_xlfn.CONCAT("TAS ", Table14[[#This Row],[dm]], " q-capacity")</f>
        <v>TAS 3 q-capacity</v>
      </c>
      <c r="G29" s="1" t="str">
        <f>_xlfn.CONCAT("Allocated request capacity in TAS ",Table14[[#This Row],[dm]]," memory buffer")</f>
        <v>Allocated request capacity in TAS 3 memory buffer</v>
      </c>
      <c r="H29" s="1" t="b">
        <f t="shared" si="4"/>
        <v>1</v>
      </c>
      <c r="I29" s="1" t="str">
        <f t="shared" si="4"/>
        <v>CTRL</v>
      </c>
      <c r="J29" s="1" t="str">
        <f t="shared" si="4"/>
        <v>E</v>
      </c>
      <c r="K29" s="1" t="str">
        <f t="shared" si="4"/>
        <v>req</v>
      </c>
      <c r="L29" s="1">
        <v>1</v>
      </c>
      <c r="M29" s="1">
        <f>Table14[[#This Row],[_min]]+10</f>
        <v>11</v>
      </c>
      <c r="N29" s="1">
        <f>AVERAGE(Table14[[#This Row],[_min]:[_max]])</f>
        <v>6</v>
      </c>
      <c r="O29" s="1" t="str">
        <f>Table14[[#This Row],[_units]]</f>
        <v>req</v>
      </c>
      <c r="P29" s="1">
        <f>Table14[[#This Row],[_min]]</f>
        <v>1</v>
      </c>
      <c r="Q29" s="1">
        <f>Table14[[#This Row],[_max]]</f>
        <v>11</v>
      </c>
      <c r="R29" s="1">
        <f>Table14[[#This Row],[_mean]]</f>
        <v>6</v>
      </c>
      <c r="S29" s="1" t="str">
        <f t="shared" si="5"/>
        <v>shifted_uniform_int</v>
      </c>
      <c r="T29" s="1" t="str">
        <f t="shared" ref="T29" si="10">_xlfn.CONCAT("['", C28, "']")</f>
        <v>['c_{3}']</v>
      </c>
      <c r="U29" s="1" t="str">
        <f>_xlfn.CONCAT("{'low': ", Table14[[#This Row],[_std_min]], ", 'high': ",Table14[[#This Row],[_std_max]],"}")</f>
        <v>{'low': 1, 'high': 11}</v>
      </c>
    </row>
    <row r="30" spans="1:21" x14ac:dyDescent="0.5">
      <c r="A30" s="1">
        <v>29</v>
      </c>
      <c r="B30" s="1">
        <f t="shared" si="2"/>
        <v>3</v>
      </c>
      <c r="C30" s="1" t="str">
        <f>_xlfn.CONCAT("\delta_{", Table14[[#This Row],[dm]],"}")</f>
        <v>\delta_{3}</v>
      </c>
      <c r="D30" s="1" t="str">
        <f>_xlfn.CONCAT("delta_tas_", Table14[[#This Row],[dm]])</f>
        <v>delta_tas_3</v>
      </c>
      <c r="E30" s="1" t="str">
        <f t="shared" si="3"/>
        <v>CUSTOM</v>
      </c>
      <c r="F30" s="1" t="str">
        <f>_xlfn.CONCAT("TAS ", Table14[[#This Row],[dm]], " req data density")</f>
        <v>TAS 3 req data density</v>
      </c>
      <c r="G30" s="1" t="str">
        <f>_xlfn.CONCAT("Data density for request in TAS ", Table14[[#This Row],[dm]], " expected data per requests")</f>
        <v>Data density for request in TAS 3 expected data per requests</v>
      </c>
      <c r="H30" s="1" t="b">
        <f t="shared" ref="H30:K45" si="11">H19</f>
        <v>0</v>
      </c>
      <c r="I30" s="1" t="str">
        <f t="shared" si="11"/>
        <v>IN</v>
      </c>
      <c r="J30" s="1" t="str">
        <f t="shared" si="11"/>
        <v>D*E^-1</v>
      </c>
      <c r="K30" s="1" t="str">
        <f t="shared" si="11"/>
        <v>kB/req</v>
      </c>
      <c r="L30" s="1">
        <v>128</v>
      </c>
      <c r="M30" s="1">
        <f>2*1000</f>
        <v>2000</v>
      </c>
      <c r="N30" s="1">
        <f>AVERAGE(Table14[[#This Row],[_min]:[_max]])</f>
        <v>1064</v>
      </c>
      <c r="O30" s="1" t="s">
        <v>11</v>
      </c>
      <c r="P30" s="1">
        <f>Table14[[#This Row],[_min]]*1024000</f>
        <v>131072000</v>
      </c>
      <c r="Q30" s="1">
        <f>Table14[[#This Row],[_max]]*1024000</f>
        <v>2048000000</v>
      </c>
      <c r="R30" s="1">
        <f>Table14[[#This Row],[_mean]]*1024000</f>
        <v>1089536000</v>
      </c>
      <c r="S30" s="1" t="str">
        <f t="shared" si="5"/>
        <v>uniform</v>
      </c>
      <c r="T30" s="1" t="str">
        <f t="shared" si="0"/>
        <v>[]</v>
      </c>
      <c r="U30" s="1" t="str">
        <f>_xlfn.CONCAT("{'low': ", Table14[[#This Row],[_std_min]], ", 'high': ",Table14[[#This Row],[_std_max]],"}")</f>
        <v>{'low': 131072000, 'high': 2048000000}</v>
      </c>
    </row>
    <row r="31" spans="1:21" x14ac:dyDescent="0.5">
      <c r="A31" s="1">
        <v>30</v>
      </c>
      <c r="B31" s="1">
        <f t="shared" si="2"/>
        <v>3</v>
      </c>
      <c r="C31" s="1" t="str">
        <f>_xlfn.CONCAT("L_{",Table14[[#This Row],[dm]], "}")</f>
        <v>L_{3}</v>
      </c>
      <c r="D31" s="1" t="str">
        <f>_xlfn.CONCAT("L_tas_", Table14[[#This Row],[dm]])</f>
        <v>L_tas_3</v>
      </c>
      <c r="E31" s="1" t="str">
        <f t="shared" si="3"/>
        <v>CUSTOM</v>
      </c>
      <c r="F31" s="1" t="str">
        <f>_xlfn.CONCAT("TAS ", Table14[[#This Row],[dm]], " mean processing requests")</f>
        <v>TAS 3 mean processing requests</v>
      </c>
      <c r="G31" s="1" t="str">
        <f>_xlfn.CONCAT("Average number of request in TAS ",Table14[[#This Row],[dm]], " component")</f>
        <v>Average number of request in TAS 3 component</v>
      </c>
      <c r="H31" s="1" t="b">
        <f t="shared" si="11"/>
        <v>1</v>
      </c>
      <c r="I31" s="1" t="str">
        <f t="shared" si="11"/>
        <v>CTRL</v>
      </c>
      <c r="J31" s="1" t="str">
        <f t="shared" si="11"/>
        <v>E</v>
      </c>
      <c r="K31" s="1" t="str">
        <f t="shared" si="11"/>
        <v>req</v>
      </c>
      <c r="L31" s="1">
        <v>1</v>
      </c>
      <c r="M31" s="1">
        <f>Table14[[#This Row],[_min]]+10</f>
        <v>11</v>
      </c>
      <c r="N31" s="1">
        <f>AVERAGE(Table14[[#This Row],[_min]:[_max]])</f>
        <v>6</v>
      </c>
      <c r="O31" s="1" t="str">
        <f>Table14[[#This Row],[_units]]</f>
        <v>req</v>
      </c>
      <c r="P31" s="1">
        <f>Table14[[#This Row],[_min]]</f>
        <v>1</v>
      </c>
      <c r="Q31" s="1">
        <f>Table14[[#This Row],[_max]]</f>
        <v>11</v>
      </c>
      <c r="R31" s="1">
        <f>Table14[[#This Row],[_mean]]</f>
        <v>6</v>
      </c>
      <c r="S31" s="1" t="str">
        <f t="shared" si="5"/>
        <v>queue_length</v>
      </c>
      <c r="T31" s="1" t="str">
        <f t="shared" ref="T31" si="12">_xlfn.CONCAT("['", C24, "' , '", C25, "' , '", C28, "' , '", C29, "']")</f>
        <v>['\lambda_{3}' , '\mu_{3}' , 'c_{3}' , 'K_{3}']</v>
      </c>
      <c r="U31" s="1" t="str">
        <f t="shared" ref="U31:U34" si="13">_xlfn.CONCAT("{", "}")</f>
        <v>{}</v>
      </c>
    </row>
    <row r="32" spans="1:21" x14ac:dyDescent="0.5">
      <c r="A32" s="1">
        <v>31</v>
      </c>
      <c r="B32" s="1">
        <f t="shared" si="2"/>
        <v>3</v>
      </c>
      <c r="C32" s="1" t="str">
        <f>_xlfn.CONCAT("Lq_{",Table14[[#This Row],[dm]], "}")</f>
        <v>Lq_{3}</v>
      </c>
      <c r="D32" s="1" t="str">
        <f>_xlfn.CONCAT("Lq_tas_", Table14[[#This Row],[dm]])</f>
        <v>Lq_tas_3</v>
      </c>
      <c r="E32" s="1" t="str">
        <f t="shared" si="3"/>
        <v>CUSTOM</v>
      </c>
      <c r="F32" s="1" t="str">
        <f>_xlfn.CONCAT("TAS ", Table14[[#This Row],[dm]], " mean in memory requests")</f>
        <v>TAS 3 mean in memory requests</v>
      </c>
      <c r="G32" s="1" t="str">
        <f>_xlfn.CONCAT("Average number of request in TAS ",Table14[[#This Row],[dm]], " memory")</f>
        <v>Average number of request in TAS 3 memory</v>
      </c>
      <c r="H32" s="1" t="b">
        <f t="shared" si="11"/>
        <v>0</v>
      </c>
      <c r="I32" s="1" t="str">
        <f t="shared" si="11"/>
        <v>CTRL</v>
      </c>
      <c r="J32" s="1" t="str">
        <f t="shared" si="11"/>
        <v>E</v>
      </c>
      <c r="K32" s="1" t="str">
        <f t="shared" si="11"/>
        <v>req</v>
      </c>
      <c r="L32" s="1">
        <v>1</v>
      </c>
      <c r="M32" s="1">
        <f>Table14[[#This Row],[_min]]+10</f>
        <v>11</v>
      </c>
      <c r="N32" s="1">
        <f>AVERAGE(Table14[[#This Row],[_min]:[_max]])</f>
        <v>6</v>
      </c>
      <c r="O32" s="1" t="str">
        <f>Table14[[#This Row],[_units]]</f>
        <v>req</v>
      </c>
      <c r="P32" s="1">
        <f>Table14[[#This Row],[_min]]</f>
        <v>1</v>
      </c>
      <c r="Q32" s="1">
        <f>Table14[[#This Row],[_max]]</f>
        <v>11</v>
      </c>
      <c r="R32" s="1">
        <f>Table14[[#This Row],[_mean]]</f>
        <v>6</v>
      </c>
      <c r="S32" s="1" t="str">
        <f t="shared" si="5"/>
        <v>queue_length</v>
      </c>
      <c r="T32" s="1" t="str">
        <f t="shared" ref="T32" si="14">_xlfn.CONCAT("['", C24, "' , '", C25, "' , '", C28, "' , '", C29, "']")</f>
        <v>['\lambda_{3}' , '\mu_{3}' , 'c_{3}' , 'K_{3}']</v>
      </c>
      <c r="U32" s="1" t="str">
        <f t="shared" si="13"/>
        <v>{}</v>
      </c>
    </row>
    <row r="33" spans="1:21" x14ac:dyDescent="0.5">
      <c r="A33" s="1">
        <v>32</v>
      </c>
      <c r="B33" s="1">
        <f t="shared" si="2"/>
        <v>3</v>
      </c>
      <c r="C33" s="1" t="str">
        <f>_xlfn.CONCAT("W_{",Table14[[#This Row],[dm]], "}")</f>
        <v>W_{3}</v>
      </c>
      <c r="D33" s="1" t="str">
        <f>_xlfn.CONCAT("W_tas_", Table14[[#This Row],[dm]])</f>
        <v>W_tas_3</v>
      </c>
      <c r="E33" s="1" t="str">
        <f t="shared" si="3"/>
        <v>CUSTOM</v>
      </c>
      <c r="F33" s="1" t="str">
        <f>_xlfn.CONCAT("TAS ", Table14[[#This Row],[dm]], " mean time to answer")</f>
        <v>TAS 3 mean time to answer</v>
      </c>
      <c r="G33" s="1" t="str">
        <f>_xlfn.CONCAT("Average time to complete a request in TAS ",Table14[[#This Row],[dm]])</f>
        <v>Average time to complete a request in TAS 3</v>
      </c>
      <c r="H33" s="1" t="b">
        <f t="shared" si="11"/>
        <v>1</v>
      </c>
      <c r="I33" s="1" t="str">
        <f t="shared" si="11"/>
        <v>OUT</v>
      </c>
      <c r="J33" s="1" t="str">
        <f t="shared" si="11"/>
        <v>T</v>
      </c>
      <c r="K33" s="1" t="str">
        <f t="shared" si="11"/>
        <v>s</v>
      </c>
      <c r="L33" s="1">
        <v>0</v>
      </c>
      <c r="M33" s="8">
        <v>1.89877714005237E-3</v>
      </c>
      <c r="N33" s="8">
        <v>1.89877714005237E-3</v>
      </c>
      <c r="O33" s="1" t="str">
        <f>Table14[[#This Row],[_units]]</f>
        <v>s</v>
      </c>
      <c r="P33" s="1">
        <f>Table14[[#This Row],[_min]]</f>
        <v>0</v>
      </c>
      <c r="Q33" s="1">
        <f>Table14[[#This Row],[_max]]</f>
        <v>1.89877714005237E-3</v>
      </c>
      <c r="R33" s="1">
        <f>Table14[[#This Row],[_mean]]</f>
        <v>1.89877714005237E-3</v>
      </c>
      <c r="S33" s="1" t="str">
        <f t="shared" si="5"/>
        <v>queue_time</v>
      </c>
      <c r="T33" s="1" t="str">
        <f t="shared" ref="T33" si="15">_xlfn.CONCAT("['", C27, "' , '", C31, "']")</f>
        <v>['\chi_{3}' , 'L_{3}']</v>
      </c>
      <c r="U33" s="1" t="str">
        <f t="shared" si="13"/>
        <v>{}</v>
      </c>
    </row>
    <row r="34" spans="1:21" x14ac:dyDescent="0.5">
      <c r="A34" s="1">
        <v>33</v>
      </c>
      <c r="B34" s="1">
        <f t="shared" si="2"/>
        <v>3</v>
      </c>
      <c r="C34" s="1" t="str">
        <f>_xlfn.CONCAT("Wq_{",Table14[[#This Row],[dm]], "}")</f>
        <v>Wq_{3}</v>
      </c>
      <c r="D34" s="1" t="str">
        <f>_xlfn.CONCAT("Wq_tas_", Table14[[#This Row],[dm]])</f>
        <v>Wq_tas_3</v>
      </c>
      <c r="E34" s="1" t="str">
        <f t="shared" si="3"/>
        <v>CUSTOM</v>
      </c>
      <c r="F34" s="1" t="str">
        <f>_xlfn.CONCAT("TAS ", Table14[[#This Row],[dm]], " mean time in buffer")</f>
        <v>TAS 3 mean time in buffer</v>
      </c>
      <c r="G34" s="1" t="str">
        <f>_xlfn.CONCAT("Average time for a request to transit the buffer in TAS ",Table14[[#This Row],[dm]])</f>
        <v>Average time for a request to transit the buffer in TAS 3</v>
      </c>
      <c r="H34" s="1" t="b">
        <f t="shared" si="11"/>
        <v>0</v>
      </c>
      <c r="I34" s="1" t="str">
        <f t="shared" si="11"/>
        <v>CTRL</v>
      </c>
      <c r="J34" s="1" t="str">
        <f t="shared" si="11"/>
        <v>T</v>
      </c>
      <c r="K34" s="1" t="str">
        <f t="shared" si="11"/>
        <v>s</v>
      </c>
      <c r="L34" s="1">
        <v>0</v>
      </c>
      <c r="M34" s="8">
        <v>4.7020571148094899E-4</v>
      </c>
      <c r="N34" s="8">
        <v>4.7020571148094899E-4</v>
      </c>
      <c r="O34" s="1" t="str">
        <f>Table14[[#This Row],[_units]]</f>
        <v>s</v>
      </c>
      <c r="P34" s="1">
        <f>Table14[[#This Row],[_min]]</f>
        <v>0</v>
      </c>
      <c r="Q34" s="1">
        <f>Table14[[#This Row],[_max]]</f>
        <v>4.7020571148094899E-4</v>
      </c>
      <c r="R34" s="1">
        <f>Table14[[#This Row],[_mean]]</f>
        <v>4.7020571148094899E-4</v>
      </c>
      <c r="S34" s="1" t="str">
        <f t="shared" si="5"/>
        <v>queue_time</v>
      </c>
      <c r="T34" s="1" t="str">
        <f t="shared" ref="T34" si="16">_xlfn.CONCAT("['", C27, "' , '", C32, "']")</f>
        <v>['\chi_{3}' , 'Lq_{3}']</v>
      </c>
      <c r="U34" s="1" t="str">
        <f t="shared" si="13"/>
        <v>{}</v>
      </c>
    </row>
    <row r="35" spans="1:21" x14ac:dyDescent="0.5">
      <c r="A35" s="1">
        <v>34</v>
      </c>
      <c r="B35" s="1">
        <f t="shared" si="2"/>
        <v>4</v>
      </c>
      <c r="C35" s="1" t="str">
        <f>_xlfn.CONCAT("\lambda_{", Table14[[#This Row],[dm]],"}")</f>
        <v>\lambda_{4}</v>
      </c>
      <c r="D35" s="1" t="str">
        <f>_xlfn.CONCAT("lambda_tas_", Table14[[#This Row],[dm]])</f>
        <v>lambda_tas_4</v>
      </c>
      <c r="E35" s="1" t="str">
        <f t="shared" si="3"/>
        <v>CUSTOM</v>
      </c>
      <c r="F35" s="1" t="str">
        <f>_xlfn.CONCAT("TAS ", Table14[[#This Row],[dm]], " arrival rate")</f>
        <v>TAS 4 arrival rate</v>
      </c>
      <c r="G35" s="1" t="str">
        <f>_xlfn.CONCAT("Arrival rate for TAS ",Table14[[#This Row],[dm]])</f>
        <v>Arrival rate for TAS 4</v>
      </c>
      <c r="H35" s="1" t="b">
        <f t="shared" si="11"/>
        <v>1</v>
      </c>
      <c r="I35" s="1" t="str">
        <f t="shared" si="11"/>
        <v>IN</v>
      </c>
      <c r="J35" s="1" t="str">
        <f t="shared" si="11"/>
        <v>E*T^-1</v>
      </c>
      <c r="K35" s="1" t="str">
        <f t="shared" si="11"/>
        <v>req/s</v>
      </c>
      <c r="L35" s="1">
        <f>0.1*58.8068181818181</f>
        <v>5.8806818181818103</v>
      </c>
      <c r="M35" s="7">
        <f>1.9*58.8068181818181</f>
        <v>111.73295454545439</v>
      </c>
      <c r="N35" s="8">
        <f>AVERAGE(Table14[[#This Row],[_min]:[_max]])</f>
        <v>58.806818181818102</v>
      </c>
      <c r="O35" s="1" t="str">
        <f>Table14[[#This Row],[_units]]</f>
        <v>req/s</v>
      </c>
      <c r="P35" s="1">
        <f>Table14[[#This Row],[_min]]</f>
        <v>5.8806818181818103</v>
      </c>
      <c r="Q35" s="1">
        <f>Table14[[#This Row],[_max]]</f>
        <v>111.73295454545439</v>
      </c>
      <c r="R35" s="1">
        <f>Table14[[#This Row],[_mean]]</f>
        <v>58.806818181818102</v>
      </c>
      <c r="S35" s="1" t="str">
        <f t="shared" si="5"/>
        <v>uniform</v>
      </c>
      <c r="T35" s="1" t="str">
        <f t="shared" si="0"/>
        <v>[]</v>
      </c>
      <c r="U35" s="1" t="str">
        <f>_xlfn.CONCAT("{'low': ", Table14[[#This Row],[_std_min]], ", 'high': ",Table14[[#This Row],[_std_max]],"}")</f>
        <v>{'low': 5.88068181818181, 'high': 111.732954545454}</v>
      </c>
    </row>
    <row r="36" spans="1:21" x14ac:dyDescent="0.5">
      <c r="A36" s="1">
        <v>35</v>
      </c>
      <c r="B36" s="1">
        <f t="shared" si="2"/>
        <v>4</v>
      </c>
      <c r="C36" s="1" t="str">
        <f>_xlfn.CONCAT("\mu_{",Table14[[#This Row],[dm]], "}")</f>
        <v>\mu_{4}</v>
      </c>
      <c r="D36" s="1" t="str">
        <f>_xlfn.CONCAT("mu_tas_", Table14[[#This Row],[dm]])</f>
        <v>mu_tas_4</v>
      </c>
      <c r="E36" s="1" t="str">
        <f t="shared" si="3"/>
        <v>CUSTOM</v>
      </c>
      <c r="F36" s="1" t="str">
        <f>_xlfn.CONCAT("TAS ", Table14[[#This Row],[dm]], " service rate")</f>
        <v>TAS 4 service rate</v>
      </c>
      <c r="G36" s="1" t="str">
        <f>_xlfn.CONCAT("Service rate for TAS ",Table14[[#This Row],[dm]])</f>
        <v>Service rate for TAS 4</v>
      </c>
      <c r="H36" s="1" t="b">
        <f t="shared" si="11"/>
        <v>1</v>
      </c>
      <c r="I36" s="1" t="str">
        <f t="shared" si="11"/>
        <v>CTRL</v>
      </c>
      <c r="J36" s="1" t="str">
        <f t="shared" si="11"/>
        <v>E*T^-1</v>
      </c>
      <c r="K36" s="1" t="str">
        <f t="shared" si="11"/>
        <v>req/s</v>
      </c>
      <c r="L36" s="1">
        <f>0.1*180</f>
        <v>18</v>
      </c>
      <c r="M36" s="5">
        <f>1.9*180</f>
        <v>342</v>
      </c>
      <c r="N36" s="4">
        <f>AVERAGE(Table14[[#This Row],[_min]:[_max]])</f>
        <v>180</v>
      </c>
      <c r="O36" s="1" t="str">
        <f>Table14[[#This Row],[_units]]</f>
        <v>req/s</v>
      </c>
      <c r="P36" s="1">
        <f>Table14[[#This Row],[_min]]</f>
        <v>18</v>
      </c>
      <c r="Q36" s="1">
        <f>Table14[[#This Row],[_max]]</f>
        <v>342</v>
      </c>
      <c r="R36" s="1">
        <f>Table14[[#This Row],[_mean]]</f>
        <v>180</v>
      </c>
      <c r="S36" s="1" t="str">
        <f t="shared" si="5"/>
        <v>uniform</v>
      </c>
      <c r="T36" s="1" t="str">
        <f t="shared" si="0"/>
        <v>[]</v>
      </c>
      <c r="U36" s="1" t="str">
        <f>_xlfn.CONCAT("{'low': ", Table14[[#This Row],[_std_min]], ", 'high': ",Table14[[#This Row],[_std_max]],"}")</f>
        <v>{'low': 18, 'high': 342}</v>
      </c>
    </row>
    <row r="37" spans="1:21" x14ac:dyDescent="0.5">
      <c r="A37" s="1">
        <v>36</v>
      </c>
      <c r="B37" s="1">
        <f t="shared" si="2"/>
        <v>4</v>
      </c>
      <c r="C37" s="1" t="str">
        <f>_xlfn.CONCAT("err_{",Table14[[#This Row],[dm]], "}")</f>
        <v>err_{4}</v>
      </c>
      <c r="D37" s="1" t="str">
        <f>_xlfn.CONCAT("err_tas_", Table14[[#This Row],[dm]])</f>
        <v>err_tas_4</v>
      </c>
      <c r="E37" s="1" t="str">
        <f t="shared" si="3"/>
        <v>CUSTOM</v>
      </c>
      <c r="F37" s="1" t="str">
        <f>_xlfn.CONCAT("TAS ", Table14[[#This Row],[dm]], " error probability")</f>
        <v>TAS 4 error probability</v>
      </c>
      <c r="G37" s="1" t="str">
        <f>_xlfn.CONCAT("Service error probability for TAS ",Table14[[#This Row],[dm]])</f>
        <v>Service error probability for TAS 4</v>
      </c>
      <c r="H37" s="1" t="b">
        <f t="shared" si="11"/>
        <v>0</v>
      </c>
      <c r="I37" s="1" t="str">
        <f t="shared" si="11"/>
        <v>CTRL</v>
      </c>
      <c r="J37" s="1" t="str">
        <f t="shared" si="11"/>
        <v>E*T^-1</v>
      </c>
      <c r="K37" s="1" t="str">
        <f t="shared" si="11"/>
        <v>n.a.</v>
      </c>
      <c r="L37" s="3">
        <v>0.12</v>
      </c>
      <c r="M37" s="3">
        <v>0.12</v>
      </c>
      <c r="N37" s="3">
        <v>0.12</v>
      </c>
      <c r="O37" s="1" t="str">
        <f>Table14[[#This Row],[_units]]</f>
        <v>n.a.</v>
      </c>
      <c r="P37" s="1">
        <f>Table14[[#This Row],[_min]]</f>
        <v>0.12</v>
      </c>
      <c r="Q37" s="1">
        <f>Table14[[#This Row],[_max]]</f>
        <v>0.12</v>
      </c>
      <c r="R37" s="1">
        <f>Table14[[#This Row],[_mean]]</f>
        <v>0.12</v>
      </c>
      <c r="S37" s="1" t="str">
        <f t="shared" si="5"/>
        <v>adjusted_uniform</v>
      </c>
      <c r="T37" s="1" t="str">
        <f t="shared" si="0"/>
        <v>[]</v>
      </c>
      <c r="U37" s="1" t="str">
        <f>_xlfn.CONCAT("{'constant': ",Table14[[#This Row],[_std_max]],"}")</f>
        <v>{'constant': 0.12}</v>
      </c>
    </row>
    <row r="38" spans="1:21" x14ac:dyDescent="0.5">
      <c r="A38" s="1">
        <v>37</v>
      </c>
      <c r="B38" s="1">
        <f t="shared" si="2"/>
        <v>4</v>
      </c>
      <c r="C38" s="1" t="str">
        <f>_xlfn.CONCAT("\chi_{",Table14[[#This Row],[dm]], "}")</f>
        <v>\chi_{4}</v>
      </c>
      <c r="D38" s="1" t="str">
        <f>_xlfn.CONCAT("chi_tas_", Table14[[#This Row],[dm]])</f>
        <v>chi_tas_4</v>
      </c>
      <c r="E38" s="1" t="str">
        <f t="shared" si="3"/>
        <v>CUSTOM</v>
      </c>
      <c r="F38" s="1" t="str">
        <f>_xlfn.CONCAT("TAS ", Table14[[#This Row],[dm]], " departure rate")</f>
        <v>TAS 4 departure rate</v>
      </c>
      <c r="G38" s="1" t="str">
        <f>_xlfn.CONCAT("Departure rate for TAS ",Table14[[#This Row],[dm]])</f>
        <v>Departure rate for TAS 4</v>
      </c>
      <c r="H38" s="1" t="b">
        <f t="shared" si="11"/>
        <v>1</v>
      </c>
      <c r="I38" s="1" t="str">
        <f t="shared" si="11"/>
        <v>CTRL</v>
      </c>
      <c r="J38" s="1" t="str">
        <f t="shared" si="11"/>
        <v>E*T^-1</v>
      </c>
      <c r="K38" s="1" t="str">
        <f t="shared" si="11"/>
        <v>req/s</v>
      </c>
      <c r="L38" s="1">
        <f>0.1*58.8068181818181</f>
        <v>5.8806818181818103</v>
      </c>
      <c r="M38" s="7">
        <f>1.9*58.8068181818181</f>
        <v>111.73295454545439</v>
      </c>
      <c r="N38" s="6">
        <f>AVERAGE(Table14[[#This Row],[_min]:[_max]])</f>
        <v>58.806818181818102</v>
      </c>
      <c r="O38" s="1" t="str">
        <f>Table14[[#This Row],[_units]]</f>
        <v>req/s</v>
      </c>
      <c r="P38" s="1">
        <f>Table14[[#This Row],[_min]]</f>
        <v>5.8806818181818103</v>
      </c>
      <c r="Q38" s="1">
        <f>Table14[[#This Row],[_max]]</f>
        <v>111.73295454545439</v>
      </c>
      <c r="R38" s="1">
        <f>Table14[[#This Row],[_mean]]</f>
        <v>58.806818181818102</v>
      </c>
      <c r="S38" s="1" t="str">
        <f t="shared" si="5"/>
        <v>adjusted_rate</v>
      </c>
      <c r="T38" s="1" t="str">
        <f t="shared" ref="T38" si="17">_xlfn.CONCAT("['", C35, "' , '", C37, "']")</f>
        <v>['\lambda_{4}' , 'err_{4}']</v>
      </c>
      <c r="U38" s="1" t="str">
        <f t="shared" ref="U38" si="18">_xlfn.CONCAT("{", "}")</f>
        <v>{}</v>
      </c>
    </row>
    <row r="39" spans="1:21" x14ac:dyDescent="0.5">
      <c r="A39" s="1">
        <v>38</v>
      </c>
      <c r="B39" s="1">
        <f t="shared" si="2"/>
        <v>4</v>
      </c>
      <c r="C39" s="1" t="str">
        <f>_xlfn.CONCAT("c_{",Table14[[#This Row],[dm]], "}")</f>
        <v>c_{4}</v>
      </c>
      <c r="D39" s="1" t="str">
        <f>_xlfn.CONCAT("c_tas_", Table14[[#This Row],[dm]])</f>
        <v>c_tas_4</v>
      </c>
      <c r="E39" s="1" t="str">
        <f t="shared" si="3"/>
        <v>CUSTOM</v>
      </c>
      <c r="F39" s="1" t="str">
        <f>_xlfn.CONCAT("TAS ", Table14[[#This Row],[dm]], " resourses")</f>
        <v>TAS 4 resourses</v>
      </c>
      <c r="G39" s="1" t="str">
        <f>_xlfn.CONCAT("Number of resources allocated in TAS ",Table14[[#This Row],[dm]])</f>
        <v>Number of resources allocated in TAS 4</v>
      </c>
      <c r="H39" s="1" t="b">
        <f t="shared" si="11"/>
        <v>1</v>
      </c>
      <c r="I39" s="1" t="str">
        <f t="shared" si="11"/>
        <v>IN</v>
      </c>
      <c r="J39" s="1" t="str">
        <f t="shared" si="11"/>
        <v>E</v>
      </c>
      <c r="K39" s="1" t="str">
        <f t="shared" si="11"/>
        <v>req</v>
      </c>
      <c r="L39" s="1">
        <v>1</v>
      </c>
      <c r="M39" s="1">
        <f>Table14[[#This Row],[_min]]+2</f>
        <v>3</v>
      </c>
      <c r="N39" s="1">
        <f>AVERAGE(Table14[[#This Row],[_min]:[_max]])</f>
        <v>2</v>
      </c>
      <c r="O39" s="1" t="str">
        <f>Table14[[#This Row],[_units]]</f>
        <v>req</v>
      </c>
      <c r="P39" s="1">
        <f>Table14[[#This Row],[_min]]</f>
        <v>1</v>
      </c>
      <c r="Q39" s="1">
        <f>Table14[[#This Row],[_max]]</f>
        <v>3</v>
      </c>
      <c r="R39" s="1">
        <f>Table14[[#This Row],[_mean]]</f>
        <v>2</v>
      </c>
      <c r="S39" s="1" t="str">
        <f t="shared" si="5"/>
        <v>uniform_int</v>
      </c>
      <c r="T39" s="1" t="str">
        <f t="shared" si="0"/>
        <v>[]</v>
      </c>
      <c r="U39" s="1" t="str">
        <f>_xlfn.CONCAT("{'low': ", Table14[[#This Row],[_std_min]], ", 'high': ",Table14[[#This Row],[_std_max]],"}")</f>
        <v>{'low': 1, 'high': 3}</v>
      </c>
    </row>
    <row r="40" spans="1:21" x14ac:dyDescent="0.5">
      <c r="A40" s="1">
        <v>39</v>
      </c>
      <c r="B40" s="1">
        <f t="shared" si="2"/>
        <v>4</v>
      </c>
      <c r="C40" s="1" t="str">
        <f>_xlfn.CONCAT("K_{",Table14[[#This Row],[dm]],"}")</f>
        <v>K_{4}</v>
      </c>
      <c r="D40" s="1" t="str">
        <f>_xlfn.CONCAT("K_tas_", Table14[[#This Row],[dm]])</f>
        <v>K_tas_4</v>
      </c>
      <c r="E40" s="1" t="str">
        <f t="shared" si="3"/>
        <v>CUSTOM</v>
      </c>
      <c r="F40" s="1" t="str">
        <f>_xlfn.CONCAT("TAS ", Table14[[#This Row],[dm]], " q-capacity")</f>
        <v>TAS 4 q-capacity</v>
      </c>
      <c r="G40" s="1" t="str">
        <f>_xlfn.CONCAT("Allocated request capacity in TAS ",Table14[[#This Row],[dm]]," memory buffer")</f>
        <v>Allocated request capacity in TAS 4 memory buffer</v>
      </c>
      <c r="H40" s="1" t="b">
        <f t="shared" si="11"/>
        <v>1</v>
      </c>
      <c r="I40" s="1" t="str">
        <f t="shared" si="11"/>
        <v>CTRL</v>
      </c>
      <c r="J40" s="1" t="str">
        <f t="shared" si="11"/>
        <v>E</v>
      </c>
      <c r="K40" s="1" t="str">
        <f t="shared" si="11"/>
        <v>req</v>
      </c>
      <c r="L40" s="1">
        <v>1</v>
      </c>
      <c r="M40" s="1">
        <f>Table14[[#This Row],[_min]]+10</f>
        <v>11</v>
      </c>
      <c r="N40" s="1">
        <f>AVERAGE(Table14[[#This Row],[_min]:[_max]])</f>
        <v>6</v>
      </c>
      <c r="O40" s="1" t="str">
        <f>Table14[[#This Row],[_units]]</f>
        <v>req</v>
      </c>
      <c r="P40" s="1">
        <f>Table14[[#This Row],[_min]]</f>
        <v>1</v>
      </c>
      <c r="Q40" s="1">
        <f>Table14[[#This Row],[_max]]</f>
        <v>11</v>
      </c>
      <c r="R40" s="1">
        <f>Table14[[#This Row],[_mean]]</f>
        <v>6</v>
      </c>
      <c r="S40" s="1" t="str">
        <f t="shared" si="5"/>
        <v>shifted_uniform_int</v>
      </c>
      <c r="T40" s="1" t="str">
        <f t="shared" ref="T40" si="19">_xlfn.CONCAT("['", C39, "']")</f>
        <v>['c_{4}']</v>
      </c>
      <c r="U40" s="1" t="str">
        <f>_xlfn.CONCAT("{'low': ", Table14[[#This Row],[_std_min]], ", 'high': ",Table14[[#This Row],[_std_max]],"}")</f>
        <v>{'low': 1, 'high': 11}</v>
      </c>
    </row>
    <row r="41" spans="1:21" x14ac:dyDescent="0.5">
      <c r="A41" s="1">
        <v>40</v>
      </c>
      <c r="B41" s="1">
        <f t="shared" si="2"/>
        <v>4</v>
      </c>
      <c r="C41" s="1" t="str">
        <f>_xlfn.CONCAT("\delta_{", Table14[[#This Row],[dm]],"}")</f>
        <v>\delta_{4}</v>
      </c>
      <c r="D41" s="1" t="str">
        <f>_xlfn.CONCAT("delta_tas_", Table14[[#This Row],[dm]])</f>
        <v>delta_tas_4</v>
      </c>
      <c r="E41" s="1" t="str">
        <f t="shared" si="3"/>
        <v>CUSTOM</v>
      </c>
      <c r="F41" s="1" t="str">
        <f>_xlfn.CONCAT("TAS ", Table14[[#This Row],[dm]], " req data density")</f>
        <v>TAS 4 req data density</v>
      </c>
      <c r="G41" s="1" t="str">
        <f>_xlfn.CONCAT("Data density for request in TAS ", Table14[[#This Row],[dm]], " expected data per requests")</f>
        <v>Data density for request in TAS 4 expected data per requests</v>
      </c>
      <c r="H41" s="1" t="b">
        <f t="shared" si="11"/>
        <v>0</v>
      </c>
      <c r="I41" s="1" t="str">
        <f t="shared" si="11"/>
        <v>IN</v>
      </c>
      <c r="J41" s="1" t="str">
        <f t="shared" si="11"/>
        <v>D*E^-1</v>
      </c>
      <c r="K41" s="1" t="str">
        <f t="shared" si="11"/>
        <v>kB/req</v>
      </c>
      <c r="L41" s="1">
        <v>128</v>
      </c>
      <c r="M41" s="1">
        <f>2*1000</f>
        <v>2000</v>
      </c>
      <c r="N41" s="1">
        <f>AVERAGE(Table14[[#This Row],[_min]:[_max]])</f>
        <v>1064</v>
      </c>
      <c r="O41" s="1" t="s">
        <v>11</v>
      </c>
      <c r="P41" s="1">
        <f>Table14[[#This Row],[_min]]*1024000</f>
        <v>131072000</v>
      </c>
      <c r="Q41" s="1">
        <f>Table14[[#This Row],[_max]]*1024000</f>
        <v>2048000000</v>
      </c>
      <c r="R41" s="1">
        <f>Table14[[#This Row],[_mean]]*1024000</f>
        <v>1089536000</v>
      </c>
      <c r="S41" s="1" t="str">
        <f t="shared" si="5"/>
        <v>uniform</v>
      </c>
      <c r="T41" s="1" t="str">
        <f t="shared" si="0"/>
        <v>[]</v>
      </c>
      <c r="U41" s="1" t="str">
        <f>_xlfn.CONCAT("{'low': ", Table14[[#This Row],[_std_min]], ", 'high': ",Table14[[#This Row],[_std_max]],"}")</f>
        <v>{'low': 131072000, 'high': 2048000000}</v>
      </c>
    </row>
    <row r="42" spans="1:21" x14ac:dyDescent="0.5">
      <c r="A42" s="1">
        <v>41</v>
      </c>
      <c r="B42" s="1">
        <f t="shared" si="2"/>
        <v>4</v>
      </c>
      <c r="C42" s="1" t="str">
        <f>_xlfn.CONCAT("L_{",Table14[[#This Row],[dm]], "}")</f>
        <v>L_{4}</v>
      </c>
      <c r="D42" s="1" t="str">
        <f>_xlfn.CONCAT("L_tas_", Table14[[#This Row],[dm]])</f>
        <v>L_tas_4</v>
      </c>
      <c r="E42" s="1" t="str">
        <f t="shared" si="3"/>
        <v>CUSTOM</v>
      </c>
      <c r="F42" s="1" t="str">
        <f>_xlfn.CONCAT("TAS ", Table14[[#This Row],[dm]], " mean processing requests")</f>
        <v>TAS 4 mean processing requests</v>
      </c>
      <c r="G42" s="1" t="str">
        <f>_xlfn.CONCAT("Average number of request in TAS ",Table14[[#This Row],[dm]], " component")</f>
        <v>Average number of request in TAS 4 component</v>
      </c>
      <c r="H42" s="1" t="b">
        <f t="shared" si="11"/>
        <v>1</v>
      </c>
      <c r="I42" s="1" t="str">
        <f t="shared" si="11"/>
        <v>CTRL</v>
      </c>
      <c r="J42" s="1" t="str">
        <f t="shared" si="11"/>
        <v>E</v>
      </c>
      <c r="K42" s="1" t="str">
        <f t="shared" si="11"/>
        <v>req</v>
      </c>
      <c r="L42" s="1">
        <v>1</v>
      </c>
      <c r="M42" s="1">
        <f>Table14[[#This Row],[_min]]+10</f>
        <v>11</v>
      </c>
      <c r="N42" s="1">
        <f>AVERAGE(Table14[[#This Row],[_min]:[_max]])</f>
        <v>6</v>
      </c>
      <c r="O42" s="1" t="str">
        <f>Table14[[#This Row],[_units]]</f>
        <v>req</v>
      </c>
      <c r="P42" s="1">
        <f>Table14[[#This Row],[_min]]</f>
        <v>1</v>
      </c>
      <c r="Q42" s="1">
        <f>Table14[[#This Row],[_max]]</f>
        <v>11</v>
      </c>
      <c r="R42" s="1">
        <f>Table14[[#This Row],[_mean]]</f>
        <v>6</v>
      </c>
      <c r="S42" s="1" t="str">
        <f t="shared" si="5"/>
        <v>queue_length</v>
      </c>
      <c r="T42" s="1" t="str">
        <f t="shared" ref="T42" si="20">_xlfn.CONCAT("['", C35, "' , '", C36, "' , '", C39, "' , '", C40, "']")</f>
        <v>['\lambda_{4}' , '\mu_{4}' , 'c_{4}' , 'K_{4}']</v>
      </c>
      <c r="U42" s="1" t="str">
        <f t="shared" ref="U42:U45" si="21">_xlfn.CONCAT("{", "}")</f>
        <v>{}</v>
      </c>
    </row>
    <row r="43" spans="1:21" x14ac:dyDescent="0.5">
      <c r="A43" s="1">
        <v>42</v>
      </c>
      <c r="B43" s="1">
        <f t="shared" si="2"/>
        <v>4</v>
      </c>
      <c r="C43" s="1" t="str">
        <f>_xlfn.CONCAT("Lq_{",Table14[[#This Row],[dm]], "}")</f>
        <v>Lq_{4}</v>
      </c>
      <c r="D43" s="1" t="str">
        <f>_xlfn.CONCAT("Lq_tas_", Table14[[#This Row],[dm]])</f>
        <v>Lq_tas_4</v>
      </c>
      <c r="E43" s="1" t="str">
        <f t="shared" si="3"/>
        <v>CUSTOM</v>
      </c>
      <c r="F43" s="1" t="str">
        <f>_xlfn.CONCAT("TAS ", Table14[[#This Row],[dm]], " mean in memory requests")</f>
        <v>TAS 4 mean in memory requests</v>
      </c>
      <c r="G43" s="1" t="str">
        <f>_xlfn.CONCAT("Average number of request in TAS ",Table14[[#This Row],[dm]], " memory")</f>
        <v>Average number of request in TAS 4 memory</v>
      </c>
      <c r="H43" s="1" t="b">
        <f t="shared" si="11"/>
        <v>0</v>
      </c>
      <c r="I43" s="1" t="str">
        <f t="shared" si="11"/>
        <v>CTRL</v>
      </c>
      <c r="J43" s="1" t="str">
        <f t="shared" si="11"/>
        <v>E</v>
      </c>
      <c r="K43" s="1" t="str">
        <f t="shared" si="11"/>
        <v>req</v>
      </c>
      <c r="L43" s="1">
        <v>1</v>
      </c>
      <c r="M43" s="1">
        <f>Table14[[#This Row],[_min]]+10</f>
        <v>11</v>
      </c>
      <c r="N43" s="1">
        <f>AVERAGE(Table14[[#This Row],[_min]:[_max]])</f>
        <v>6</v>
      </c>
      <c r="O43" s="1" t="str">
        <f>Table14[[#This Row],[_units]]</f>
        <v>req</v>
      </c>
      <c r="P43" s="1">
        <f>Table14[[#This Row],[_min]]</f>
        <v>1</v>
      </c>
      <c r="Q43" s="1">
        <f>Table14[[#This Row],[_max]]</f>
        <v>11</v>
      </c>
      <c r="R43" s="1">
        <f>Table14[[#This Row],[_mean]]</f>
        <v>6</v>
      </c>
      <c r="S43" s="1" t="str">
        <f t="shared" si="5"/>
        <v>queue_length</v>
      </c>
      <c r="T43" s="1" t="str">
        <f t="shared" ref="T43" si="22">_xlfn.CONCAT("['", C35, "' , '", C36, "' , '", C39, "' , '", C40, "']")</f>
        <v>['\lambda_{4}' , '\mu_{4}' , 'c_{4}' , 'K_{4}']</v>
      </c>
      <c r="U43" s="1" t="str">
        <f t="shared" si="21"/>
        <v>{}</v>
      </c>
    </row>
    <row r="44" spans="1:21" x14ac:dyDescent="0.5">
      <c r="A44" s="1">
        <v>43</v>
      </c>
      <c r="B44" s="1">
        <f t="shared" si="2"/>
        <v>4</v>
      </c>
      <c r="C44" s="1" t="str">
        <f>_xlfn.CONCAT("W_{",Table14[[#This Row],[dm]], "}")</f>
        <v>W_{4}</v>
      </c>
      <c r="D44" s="1" t="str">
        <f>_xlfn.CONCAT("W_tas_", Table14[[#This Row],[dm]])</f>
        <v>W_tas_4</v>
      </c>
      <c r="E44" s="1" t="str">
        <f t="shared" si="3"/>
        <v>CUSTOM</v>
      </c>
      <c r="F44" s="1" t="str">
        <f>_xlfn.CONCAT("TAS ", Table14[[#This Row],[dm]], " mean time to answer")</f>
        <v>TAS 4 mean time to answer</v>
      </c>
      <c r="G44" s="1" t="str">
        <f>_xlfn.CONCAT("Average time to complete a request in TAS ",Table14[[#This Row],[dm]])</f>
        <v>Average time to complete a request in TAS 4</v>
      </c>
      <c r="H44" s="1" t="b">
        <f t="shared" si="11"/>
        <v>1</v>
      </c>
      <c r="I44" s="1" t="str">
        <f t="shared" si="11"/>
        <v>OUT</v>
      </c>
      <c r="J44" s="1" t="str">
        <f t="shared" si="11"/>
        <v>T</v>
      </c>
      <c r="K44" s="1" t="str">
        <f t="shared" si="11"/>
        <v>s</v>
      </c>
      <c r="L44" s="1">
        <v>0</v>
      </c>
      <c r="M44" s="8">
        <v>1.20527306967984E-2</v>
      </c>
      <c r="N44" s="8">
        <v>1.20527306967984E-2</v>
      </c>
      <c r="O44" s="1" t="str">
        <f>Table14[[#This Row],[_units]]</f>
        <v>s</v>
      </c>
      <c r="P44" s="1">
        <f>Table14[[#This Row],[_min]]</f>
        <v>0</v>
      </c>
      <c r="Q44" s="1">
        <f>Table14[[#This Row],[_max]]</f>
        <v>1.20527306967984E-2</v>
      </c>
      <c r="R44" s="1">
        <f>Table14[[#This Row],[_mean]]</f>
        <v>1.20527306967984E-2</v>
      </c>
      <c r="S44" s="1" t="str">
        <f t="shared" si="5"/>
        <v>queue_time</v>
      </c>
      <c r="T44" s="1" t="str">
        <f t="shared" ref="T44" si="23">_xlfn.CONCAT("['", C38, "' , '", C42, "']")</f>
        <v>['\chi_{4}' , 'L_{4}']</v>
      </c>
      <c r="U44" s="1" t="str">
        <f t="shared" si="21"/>
        <v>{}</v>
      </c>
    </row>
    <row r="45" spans="1:21" x14ac:dyDescent="0.5">
      <c r="A45" s="1">
        <v>44</v>
      </c>
      <c r="B45" s="1">
        <f t="shared" si="2"/>
        <v>4</v>
      </c>
      <c r="C45" s="1" t="str">
        <f>_xlfn.CONCAT("Wq_{",Table14[[#This Row],[dm]], "}")</f>
        <v>Wq_{4}</v>
      </c>
      <c r="D45" s="1" t="str">
        <f>_xlfn.CONCAT("Wq_tas_", Table14[[#This Row],[dm]])</f>
        <v>Wq_tas_4</v>
      </c>
      <c r="E45" s="1" t="str">
        <f t="shared" si="3"/>
        <v>CUSTOM</v>
      </c>
      <c r="F45" s="1" t="str">
        <f>_xlfn.CONCAT("TAS ", Table14[[#This Row],[dm]], " mean time in buffer")</f>
        <v>TAS 4 mean time in buffer</v>
      </c>
      <c r="G45" s="1" t="str">
        <f>_xlfn.CONCAT("Average time for a request to transit the buffer in TAS ",Table14[[#This Row],[dm]])</f>
        <v>Average time for a request to transit the buffer in TAS 4</v>
      </c>
      <c r="H45" s="1" t="b">
        <f t="shared" si="11"/>
        <v>0</v>
      </c>
      <c r="I45" s="1" t="str">
        <f t="shared" si="11"/>
        <v>CTRL</v>
      </c>
      <c r="J45" s="1" t="str">
        <f t="shared" si="11"/>
        <v>T</v>
      </c>
      <c r="K45" s="1" t="str">
        <f t="shared" si="11"/>
        <v>s</v>
      </c>
      <c r="L45" s="1">
        <v>0</v>
      </c>
      <c r="M45" s="8">
        <v>6.4971751412429297E-3</v>
      </c>
      <c r="N45" s="8">
        <v>6.4971751412429297E-3</v>
      </c>
      <c r="O45" s="1" t="str">
        <f>Table14[[#This Row],[_units]]</f>
        <v>s</v>
      </c>
      <c r="P45" s="1">
        <f>Table14[[#This Row],[_min]]</f>
        <v>0</v>
      </c>
      <c r="Q45" s="1">
        <f>Table14[[#This Row],[_max]]</f>
        <v>6.4971751412429297E-3</v>
      </c>
      <c r="R45" s="1">
        <f>Table14[[#This Row],[_mean]]</f>
        <v>6.4971751412429297E-3</v>
      </c>
      <c r="S45" s="1" t="str">
        <f t="shared" si="5"/>
        <v>queue_time</v>
      </c>
      <c r="T45" s="1" t="str">
        <f t="shared" ref="T45" si="24">_xlfn.CONCAT("['", C38, "' , '", C43, "']")</f>
        <v>['\chi_{4}' , 'Lq_{4}']</v>
      </c>
      <c r="U45" s="1" t="str">
        <f t="shared" si="21"/>
        <v>{}</v>
      </c>
    </row>
    <row r="46" spans="1:21" x14ac:dyDescent="0.5">
      <c r="A46" s="1">
        <v>45</v>
      </c>
      <c r="B46" s="1">
        <f t="shared" si="2"/>
        <v>5</v>
      </c>
      <c r="C46" s="1" t="str">
        <f>_xlfn.CONCAT("\lambda_{", Table14[[#This Row],[dm]],"}")</f>
        <v>\lambda_{5}</v>
      </c>
      <c r="D46" s="1" t="str">
        <f>_xlfn.CONCAT("lambda_tas_", Table14[[#This Row],[dm]])</f>
        <v>lambda_tas_5</v>
      </c>
      <c r="E46" s="1" t="str">
        <f t="shared" si="3"/>
        <v>CUSTOM</v>
      </c>
      <c r="F46" s="1" t="str">
        <f>_xlfn.CONCAT("TAS ", Table14[[#This Row],[dm]], " arrival rate")</f>
        <v>TAS 5 arrival rate</v>
      </c>
      <c r="G46" s="1" t="str">
        <f>_xlfn.CONCAT("Arrival rate for TAS ",Table14[[#This Row],[dm]])</f>
        <v>Arrival rate for TAS 5</v>
      </c>
      <c r="H46" s="1" t="b">
        <f t="shared" ref="H46:K61" si="25">H35</f>
        <v>1</v>
      </c>
      <c r="I46" s="1" t="str">
        <f t="shared" si="25"/>
        <v>IN</v>
      </c>
      <c r="J46" s="1" t="str">
        <f t="shared" si="25"/>
        <v>E*T^-1</v>
      </c>
      <c r="K46" s="1" t="str">
        <f t="shared" si="25"/>
        <v>req/s</v>
      </c>
      <c r="L46" s="1">
        <f>0.1*111.290322580645</f>
        <v>11.1290322580645</v>
      </c>
      <c r="M46" s="7">
        <f>1.9*111.290322580645</f>
        <v>211.45161290322548</v>
      </c>
      <c r="N46" s="4">
        <f>AVERAGE(Table14[[#This Row],[_min]:[_max]])</f>
        <v>111.290322580645</v>
      </c>
      <c r="O46" s="1" t="str">
        <f>Table14[[#This Row],[_units]]</f>
        <v>req/s</v>
      </c>
      <c r="P46" s="1">
        <f>Table14[[#This Row],[_min]]</f>
        <v>11.1290322580645</v>
      </c>
      <c r="Q46" s="1">
        <f>Table14[[#This Row],[_max]]</f>
        <v>211.45161290322548</v>
      </c>
      <c r="R46" s="1">
        <f>Table14[[#This Row],[_mean]]</f>
        <v>111.290322580645</v>
      </c>
      <c r="S46" s="1" t="str">
        <f t="shared" si="5"/>
        <v>uniform</v>
      </c>
      <c r="T46" s="1" t="str">
        <f t="shared" si="0"/>
        <v>[]</v>
      </c>
      <c r="U46" s="1" t="str">
        <f>_xlfn.CONCAT("{'low': ", Table14[[#This Row],[_std_min]], ", 'high': ",Table14[[#This Row],[_std_max]],"}")</f>
        <v>{'low': 11.1290322580645, 'high': 211.451612903225}</v>
      </c>
    </row>
    <row r="47" spans="1:21" x14ac:dyDescent="0.5">
      <c r="A47" s="1">
        <v>46</v>
      </c>
      <c r="B47" s="1">
        <f t="shared" si="2"/>
        <v>5</v>
      </c>
      <c r="C47" s="1" t="str">
        <f>_xlfn.CONCAT("\mu_{",Table14[[#This Row],[dm]], "}")</f>
        <v>\mu_{5}</v>
      </c>
      <c r="D47" s="1" t="str">
        <f>_xlfn.CONCAT("mu_tas_", Table14[[#This Row],[dm]])</f>
        <v>mu_tas_5</v>
      </c>
      <c r="E47" s="1" t="str">
        <f t="shared" si="3"/>
        <v>CUSTOM</v>
      </c>
      <c r="F47" s="1" t="str">
        <f>_xlfn.CONCAT("TAS ", Table14[[#This Row],[dm]], " service rate")</f>
        <v>TAS 5 service rate</v>
      </c>
      <c r="G47" s="1" t="str">
        <f>_xlfn.CONCAT("Service rate for TAS ",Table14[[#This Row],[dm]])</f>
        <v>Service rate for TAS 5</v>
      </c>
      <c r="H47" s="1" t="b">
        <f t="shared" si="25"/>
        <v>1</v>
      </c>
      <c r="I47" s="1" t="str">
        <f t="shared" si="25"/>
        <v>CTRL</v>
      </c>
      <c r="J47" s="1" t="str">
        <f t="shared" si="25"/>
        <v>E*T^-1</v>
      </c>
      <c r="K47" s="1" t="str">
        <f t="shared" si="25"/>
        <v>req/s</v>
      </c>
      <c r="L47" s="1">
        <f>0.1*530</f>
        <v>53</v>
      </c>
      <c r="M47" s="5">
        <f>1.9*530</f>
        <v>1007</v>
      </c>
      <c r="N47" s="4">
        <f>AVERAGE(Table14[[#This Row],[_min]:[_max]])</f>
        <v>530</v>
      </c>
      <c r="O47" s="1" t="str">
        <f>Table14[[#This Row],[_units]]</f>
        <v>req/s</v>
      </c>
      <c r="P47" s="1">
        <f>Table14[[#This Row],[_min]]</f>
        <v>53</v>
      </c>
      <c r="Q47" s="1">
        <f>Table14[[#This Row],[_max]]</f>
        <v>1007</v>
      </c>
      <c r="R47" s="1">
        <f>Table14[[#This Row],[_mean]]</f>
        <v>530</v>
      </c>
      <c r="S47" s="1" t="str">
        <f t="shared" si="5"/>
        <v>uniform</v>
      </c>
      <c r="T47" s="1" t="str">
        <f t="shared" si="0"/>
        <v>[]</v>
      </c>
      <c r="U47" s="1" t="str">
        <f>_xlfn.CONCAT("{'low': ", Table14[[#This Row],[_std_min]], ", 'high': ",Table14[[#This Row],[_std_max]],"}")</f>
        <v>{'low': 53, 'high': 1007}</v>
      </c>
    </row>
    <row r="48" spans="1:21" x14ac:dyDescent="0.5">
      <c r="A48" s="1">
        <v>47</v>
      </c>
      <c r="B48" s="1">
        <f t="shared" si="2"/>
        <v>5</v>
      </c>
      <c r="C48" s="1" t="str">
        <f>_xlfn.CONCAT("err_{",Table14[[#This Row],[dm]], "}")</f>
        <v>err_{5}</v>
      </c>
      <c r="D48" s="1" t="str">
        <f>_xlfn.CONCAT("err_tas_", Table14[[#This Row],[dm]])</f>
        <v>err_tas_5</v>
      </c>
      <c r="E48" s="1" t="str">
        <f t="shared" si="3"/>
        <v>CUSTOM</v>
      </c>
      <c r="F48" s="1" t="str">
        <f>_xlfn.CONCAT("TAS ", Table14[[#This Row],[dm]], " error probability")</f>
        <v>TAS 5 error probability</v>
      </c>
      <c r="G48" s="1" t="str">
        <f>_xlfn.CONCAT("Service error probability for TAS ",Table14[[#This Row],[dm]])</f>
        <v>Service error probability for TAS 5</v>
      </c>
      <c r="H48" s="1" t="b">
        <f t="shared" si="25"/>
        <v>0</v>
      </c>
      <c r="I48" s="1" t="str">
        <f t="shared" si="25"/>
        <v>CTRL</v>
      </c>
      <c r="J48" s="1" t="str">
        <f t="shared" si="25"/>
        <v>E*T^-1</v>
      </c>
      <c r="K48" s="1" t="str">
        <f t="shared" si="25"/>
        <v>n.a.</v>
      </c>
      <c r="L48" s="3">
        <v>7.0000000000000007E-2</v>
      </c>
      <c r="M48" s="3">
        <v>7.0000000000000007E-2</v>
      </c>
      <c r="N48" s="3">
        <f>AVERAGE(Table14[[#This Row],[_min]:[_max]])</f>
        <v>7.0000000000000007E-2</v>
      </c>
      <c r="O48" s="1" t="str">
        <f>Table14[[#This Row],[_units]]</f>
        <v>n.a.</v>
      </c>
      <c r="P48" s="1">
        <f>Table14[[#This Row],[_min]]</f>
        <v>7.0000000000000007E-2</v>
      </c>
      <c r="Q48" s="1">
        <f>Table14[[#This Row],[_max]]</f>
        <v>7.0000000000000007E-2</v>
      </c>
      <c r="R48" s="1">
        <f>Table14[[#This Row],[_mean]]</f>
        <v>7.0000000000000007E-2</v>
      </c>
      <c r="S48" s="1" t="str">
        <f t="shared" si="5"/>
        <v>adjusted_uniform</v>
      </c>
      <c r="T48" s="1" t="str">
        <f t="shared" si="0"/>
        <v>[]</v>
      </c>
      <c r="U48" s="1" t="str">
        <f>_xlfn.CONCAT("{'constant': ",Table14[[#This Row],[_std_max]],"}")</f>
        <v>{'constant': 0.07}</v>
      </c>
    </row>
    <row r="49" spans="1:21" x14ac:dyDescent="0.5">
      <c r="A49" s="1">
        <v>48</v>
      </c>
      <c r="B49" s="1">
        <f t="shared" si="2"/>
        <v>5</v>
      </c>
      <c r="C49" s="1" t="str">
        <f>_xlfn.CONCAT("\chi_{",Table14[[#This Row],[dm]], "}")</f>
        <v>\chi_{5}</v>
      </c>
      <c r="D49" s="1" t="str">
        <f>_xlfn.CONCAT("chi_tas_", Table14[[#This Row],[dm]])</f>
        <v>chi_tas_5</v>
      </c>
      <c r="E49" s="1" t="str">
        <f t="shared" si="3"/>
        <v>CUSTOM</v>
      </c>
      <c r="F49" s="1" t="str">
        <f>_xlfn.CONCAT("TAS ", Table14[[#This Row],[dm]], " departure rate")</f>
        <v>TAS 5 departure rate</v>
      </c>
      <c r="G49" s="1" t="str">
        <f>_xlfn.CONCAT("Departure rate for TAS ",Table14[[#This Row],[dm]])</f>
        <v>Departure rate for TAS 5</v>
      </c>
      <c r="H49" s="1" t="b">
        <f t="shared" si="25"/>
        <v>1</v>
      </c>
      <c r="I49" s="1" t="str">
        <f t="shared" si="25"/>
        <v>CTRL</v>
      </c>
      <c r="J49" s="1" t="str">
        <f t="shared" si="25"/>
        <v>E*T^-1</v>
      </c>
      <c r="K49" s="1" t="str">
        <f t="shared" si="25"/>
        <v>req/s</v>
      </c>
      <c r="L49" s="1">
        <f>0.1*111.290322580645</f>
        <v>11.1290322580645</v>
      </c>
      <c r="M49" s="7">
        <f>1.9*111.290322580645</f>
        <v>211.45161290322548</v>
      </c>
      <c r="N49" s="6">
        <f>AVERAGE(Table14[[#This Row],[_min]:[_max]])</f>
        <v>111.290322580645</v>
      </c>
      <c r="O49" s="1" t="str">
        <f>Table14[[#This Row],[_units]]</f>
        <v>req/s</v>
      </c>
      <c r="P49" s="1">
        <f>Table14[[#This Row],[_min]]</f>
        <v>11.1290322580645</v>
      </c>
      <c r="Q49" s="1">
        <f>Table14[[#This Row],[_max]]</f>
        <v>211.45161290322548</v>
      </c>
      <c r="R49" s="1">
        <f>Table14[[#This Row],[_mean]]</f>
        <v>111.290322580645</v>
      </c>
      <c r="S49" s="1" t="str">
        <f t="shared" si="5"/>
        <v>adjusted_rate</v>
      </c>
      <c r="T49" s="1" t="str">
        <f t="shared" ref="T49" si="26">_xlfn.CONCAT("['", C46, "' , '", C48, "']")</f>
        <v>['\lambda_{5}' , 'err_{5}']</v>
      </c>
      <c r="U49" s="1" t="str">
        <f t="shared" ref="U49" si="27">_xlfn.CONCAT("{", "}")</f>
        <v>{}</v>
      </c>
    </row>
    <row r="50" spans="1:21" x14ac:dyDescent="0.5">
      <c r="A50" s="1">
        <v>49</v>
      </c>
      <c r="B50" s="1">
        <f t="shared" si="2"/>
        <v>5</v>
      </c>
      <c r="C50" s="1" t="str">
        <f>_xlfn.CONCAT("c_{",Table14[[#This Row],[dm]], "}")</f>
        <v>c_{5}</v>
      </c>
      <c r="D50" s="1" t="str">
        <f>_xlfn.CONCAT("c_tas_", Table14[[#This Row],[dm]])</f>
        <v>c_tas_5</v>
      </c>
      <c r="E50" s="1" t="str">
        <f t="shared" si="3"/>
        <v>CUSTOM</v>
      </c>
      <c r="F50" s="1" t="str">
        <f>_xlfn.CONCAT("TAS ", Table14[[#This Row],[dm]], " resourses")</f>
        <v>TAS 5 resourses</v>
      </c>
      <c r="G50" s="1" t="str">
        <f>_xlfn.CONCAT("Number of resources allocated in TAS ",Table14[[#This Row],[dm]])</f>
        <v>Number of resources allocated in TAS 5</v>
      </c>
      <c r="H50" s="1" t="b">
        <f t="shared" si="25"/>
        <v>1</v>
      </c>
      <c r="I50" s="1" t="str">
        <f t="shared" si="25"/>
        <v>IN</v>
      </c>
      <c r="J50" s="1" t="str">
        <f t="shared" si="25"/>
        <v>E</v>
      </c>
      <c r="K50" s="1" t="str">
        <f t="shared" si="25"/>
        <v>req</v>
      </c>
      <c r="L50" s="1">
        <v>1</v>
      </c>
      <c r="M50" s="1">
        <f>Table14[[#This Row],[_min]]+1</f>
        <v>2</v>
      </c>
      <c r="N50" s="1">
        <f>AVERAGE(Table14[[#This Row],[_min]:[_max]])</f>
        <v>1.5</v>
      </c>
      <c r="O50" s="1" t="str">
        <f>Table14[[#This Row],[_units]]</f>
        <v>req</v>
      </c>
      <c r="P50" s="1">
        <f>Table14[[#This Row],[_min]]</f>
        <v>1</v>
      </c>
      <c r="Q50" s="1">
        <f>Table14[[#This Row],[_max]]</f>
        <v>2</v>
      </c>
      <c r="R50" s="1">
        <f>Table14[[#This Row],[_mean]]</f>
        <v>1.5</v>
      </c>
      <c r="S50" s="1" t="str">
        <f t="shared" si="5"/>
        <v>uniform_int</v>
      </c>
      <c r="T50" s="1" t="str">
        <f t="shared" si="0"/>
        <v>[]</v>
      </c>
      <c r="U50" s="1" t="str">
        <f>_xlfn.CONCAT("{'low': ", Table14[[#This Row],[_std_min]], ", 'high': ",Table14[[#This Row],[_std_max]],"}")</f>
        <v>{'low': 1, 'high': 2}</v>
      </c>
    </row>
    <row r="51" spans="1:21" x14ac:dyDescent="0.5">
      <c r="A51" s="1">
        <v>50</v>
      </c>
      <c r="B51" s="1">
        <f t="shared" si="2"/>
        <v>5</v>
      </c>
      <c r="C51" s="1" t="str">
        <f>_xlfn.CONCAT("K_{",Table14[[#This Row],[dm]],"}")</f>
        <v>K_{5}</v>
      </c>
      <c r="D51" s="1" t="str">
        <f>_xlfn.CONCAT("K_tas_", Table14[[#This Row],[dm]])</f>
        <v>K_tas_5</v>
      </c>
      <c r="E51" s="1" t="str">
        <f t="shared" si="3"/>
        <v>CUSTOM</v>
      </c>
      <c r="F51" s="1" t="str">
        <f>_xlfn.CONCAT("TAS ", Table14[[#This Row],[dm]], " q-capacity")</f>
        <v>TAS 5 q-capacity</v>
      </c>
      <c r="G51" s="1" t="str">
        <f>_xlfn.CONCAT("Allocated request capacity in TAS ",Table14[[#This Row],[dm]]," memory buffer")</f>
        <v>Allocated request capacity in TAS 5 memory buffer</v>
      </c>
      <c r="H51" s="1" t="b">
        <f t="shared" si="25"/>
        <v>1</v>
      </c>
      <c r="I51" s="1" t="str">
        <f t="shared" si="25"/>
        <v>CTRL</v>
      </c>
      <c r="J51" s="1" t="str">
        <f t="shared" si="25"/>
        <v>E</v>
      </c>
      <c r="K51" s="1" t="str">
        <f t="shared" si="25"/>
        <v>req</v>
      </c>
      <c r="L51" s="1">
        <v>1</v>
      </c>
      <c r="M51" s="1">
        <f>Table14[[#This Row],[_min]]+10</f>
        <v>11</v>
      </c>
      <c r="N51" s="1">
        <f>AVERAGE(Table14[[#This Row],[_min]:[_max]])</f>
        <v>6</v>
      </c>
      <c r="O51" s="1" t="str">
        <f>Table14[[#This Row],[_units]]</f>
        <v>req</v>
      </c>
      <c r="P51" s="1">
        <f>Table14[[#This Row],[_min]]</f>
        <v>1</v>
      </c>
      <c r="Q51" s="1">
        <f>Table14[[#This Row],[_max]]</f>
        <v>11</v>
      </c>
      <c r="R51" s="1">
        <f>Table14[[#This Row],[_mean]]</f>
        <v>6</v>
      </c>
      <c r="S51" s="1" t="str">
        <f t="shared" si="5"/>
        <v>shifted_uniform_int</v>
      </c>
      <c r="T51" s="1" t="str">
        <f t="shared" ref="T51" si="28">_xlfn.CONCAT("['", C50, "']")</f>
        <v>['c_{5}']</v>
      </c>
      <c r="U51" s="1" t="str">
        <f>_xlfn.CONCAT("{'low': ", Table14[[#This Row],[_std_min]], ", 'high': ",Table14[[#This Row],[_std_max]],"}")</f>
        <v>{'low': 1, 'high': 11}</v>
      </c>
    </row>
    <row r="52" spans="1:21" x14ac:dyDescent="0.5">
      <c r="A52" s="1">
        <v>51</v>
      </c>
      <c r="B52" s="1">
        <f t="shared" si="2"/>
        <v>5</v>
      </c>
      <c r="C52" s="1" t="str">
        <f>_xlfn.CONCAT("\delta_{", Table14[[#This Row],[dm]],"}")</f>
        <v>\delta_{5}</v>
      </c>
      <c r="D52" s="1" t="str">
        <f>_xlfn.CONCAT("delta_tas_", Table14[[#This Row],[dm]])</f>
        <v>delta_tas_5</v>
      </c>
      <c r="E52" s="1" t="str">
        <f t="shared" si="3"/>
        <v>CUSTOM</v>
      </c>
      <c r="F52" s="1" t="str">
        <f>_xlfn.CONCAT("TAS ", Table14[[#This Row],[dm]], " req data density")</f>
        <v>TAS 5 req data density</v>
      </c>
      <c r="G52" s="1" t="str">
        <f>_xlfn.CONCAT("Data density for request in TAS ", Table14[[#This Row],[dm]], " expected data per requests")</f>
        <v>Data density for request in TAS 5 expected data per requests</v>
      </c>
      <c r="H52" s="1" t="b">
        <f t="shared" si="25"/>
        <v>0</v>
      </c>
      <c r="I52" s="1" t="str">
        <f t="shared" si="25"/>
        <v>IN</v>
      </c>
      <c r="J52" s="1" t="str">
        <f t="shared" si="25"/>
        <v>D*E^-1</v>
      </c>
      <c r="K52" s="1" t="str">
        <f t="shared" si="25"/>
        <v>kB/req</v>
      </c>
      <c r="L52" s="1">
        <v>128</v>
      </c>
      <c r="M52" s="1">
        <f>2*1000</f>
        <v>2000</v>
      </c>
      <c r="N52" s="1">
        <f>AVERAGE(Table14[[#This Row],[_min]:[_max]])</f>
        <v>1064</v>
      </c>
      <c r="O52" s="1" t="s">
        <v>11</v>
      </c>
      <c r="P52" s="1">
        <f>Table14[[#This Row],[_min]]*1024000</f>
        <v>131072000</v>
      </c>
      <c r="Q52" s="1">
        <f>Table14[[#This Row],[_max]]*1024000</f>
        <v>2048000000</v>
      </c>
      <c r="R52" s="1">
        <f>Table14[[#This Row],[_mean]]*1024000</f>
        <v>1089536000</v>
      </c>
      <c r="S52" s="1" t="str">
        <f t="shared" si="5"/>
        <v>uniform</v>
      </c>
      <c r="T52" s="1" t="str">
        <f t="shared" si="0"/>
        <v>[]</v>
      </c>
      <c r="U52" s="1" t="str">
        <f>_xlfn.CONCAT("{'low': ", Table14[[#This Row],[_std_min]], ", 'high': ",Table14[[#This Row],[_std_max]],"}")</f>
        <v>{'low': 131072000, 'high': 2048000000}</v>
      </c>
    </row>
    <row r="53" spans="1:21" x14ac:dyDescent="0.5">
      <c r="A53" s="1">
        <v>52</v>
      </c>
      <c r="B53" s="1">
        <f t="shared" si="2"/>
        <v>5</v>
      </c>
      <c r="C53" s="1" t="str">
        <f>_xlfn.CONCAT("L_{",Table14[[#This Row],[dm]], "}")</f>
        <v>L_{5}</v>
      </c>
      <c r="D53" s="1" t="str">
        <f>_xlfn.CONCAT("L_tas_", Table14[[#This Row],[dm]])</f>
        <v>L_tas_5</v>
      </c>
      <c r="E53" s="1" t="str">
        <f t="shared" si="3"/>
        <v>CUSTOM</v>
      </c>
      <c r="F53" s="1" t="str">
        <f>_xlfn.CONCAT("TAS ", Table14[[#This Row],[dm]], " mean processing requests")</f>
        <v>TAS 5 mean processing requests</v>
      </c>
      <c r="G53" s="1" t="str">
        <f>_xlfn.CONCAT("Average number of request in TAS ",Table14[[#This Row],[dm]], " component")</f>
        <v>Average number of request in TAS 5 component</v>
      </c>
      <c r="H53" s="1" t="b">
        <f t="shared" si="25"/>
        <v>1</v>
      </c>
      <c r="I53" s="1" t="str">
        <f t="shared" si="25"/>
        <v>CTRL</v>
      </c>
      <c r="J53" s="1" t="str">
        <f t="shared" si="25"/>
        <v>E</v>
      </c>
      <c r="K53" s="1" t="str">
        <f t="shared" si="25"/>
        <v>req</v>
      </c>
      <c r="L53" s="1">
        <v>1</v>
      </c>
      <c r="M53" s="1">
        <f>Table14[[#This Row],[_min]]+10</f>
        <v>11</v>
      </c>
      <c r="N53" s="1">
        <f>AVERAGE(Table14[[#This Row],[_min]:[_max]])</f>
        <v>6</v>
      </c>
      <c r="O53" s="1" t="str">
        <f>Table14[[#This Row],[_units]]</f>
        <v>req</v>
      </c>
      <c r="P53" s="1">
        <f>Table14[[#This Row],[_min]]</f>
        <v>1</v>
      </c>
      <c r="Q53" s="1">
        <f>Table14[[#This Row],[_max]]</f>
        <v>11</v>
      </c>
      <c r="R53" s="1">
        <f>Table14[[#This Row],[_mean]]</f>
        <v>6</v>
      </c>
      <c r="S53" s="1" t="str">
        <f t="shared" si="5"/>
        <v>queue_length</v>
      </c>
      <c r="T53" s="1" t="str">
        <f t="shared" ref="T53" si="29">_xlfn.CONCAT("['", C46, "' , '", C47, "' , '", C50, "' , '", C51, "']")</f>
        <v>['\lambda_{5}' , '\mu_{5}' , 'c_{5}' , 'K_{5}']</v>
      </c>
      <c r="U53" s="1" t="str">
        <f t="shared" ref="U53:U56" si="30">_xlfn.CONCAT("{", "}")</f>
        <v>{}</v>
      </c>
    </row>
    <row r="54" spans="1:21" x14ac:dyDescent="0.5">
      <c r="A54" s="1">
        <v>53</v>
      </c>
      <c r="B54" s="1">
        <f t="shared" si="2"/>
        <v>5</v>
      </c>
      <c r="C54" s="1" t="str">
        <f>_xlfn.CONCAT("Lq_{",Table14[[#This Row],[dm]], "}")</f>
        <v>Lq_{5}</v>
      </c>
      <c r="D54" s="1" t="str">
        <f>_xlfn.CONCAT("Lq_tas_", Table14[[#This Row],[dm]])</f>
        <v>Lq_tas_5</v>
      </c>
      <c r="E54" s="1" t="str">
        <f t="shared" si="3"/>
        <v>CUSTOM</v>
      </c>
      <c r="F54" s="1" t="str">
        <f>_xlfn.CONCAT("TAS ", Table14[[#This Row],[dm]], " mean in memory requests")</f>
        <v>TAS 5 mean in memory requests</v>
      </c>
      <c r="G54" s="1" t="str">
        <f>_xlfn.CONCAT("Average number of request in TAS ",Table14[[#This Row],[dm]], " memory")</f>
        <v>Average number of request in TAS 5 memory</v>
      </c>
      <c r="H54" s="1" t="b">
        <f t="shared" si="25"/>
        <v>0</v>
      </c>
      <c r="I54" s="1" t="str">
        <f t="shared" si="25"/>
        <v>CTRL</v>
      </c>
      <c r="J54" s="1" t="str">
        <f t="shared" si="25"/>
        <v>E</v>
      </c>
      <c r="K54" s="1" t="str">
        <f t="shared" si="25"/>
        <v>req</v>
      </c>
      <c r="L54" s="1">
        <v>1</v>
      </c>
      <c r="M54" s="1">
        <f>Table14[[#This Row],[_min]]+10</f>
        <v>11</v>
      </c>
      <c r="N54" s="1">
        <f>AVERAGE(Table14[[#This Row],[_min]:[_max]])</f>
        <v>6</v>
      </c>
      <c r="O54" s="1" t="str">
        <f>Table14[[#This Row],[_units]]</f>
        <v>req</v>
      </c>
      <c r="P54" s="1">
        <f>Table14[[#This Row],[_min]]</f>
        <v>1</v>
      </c>
      <c r="Q54" s="1">
        <f>Table14[[#This Row],[_max]]</f>
        <v>11</v>
      </c>
      <c r="R54" s="1">
        <f>Table14[[#This Row],[_mean]]</f>
        <v>6</v>
      </c>
      <c r="S54" s="1" t="str">
        <f t="shared" si="5"/>
        <v>queue_length</v>
      </c>
      <c r="T54" s="1" t="str">
        <f t="shared" ref="T54" si="31">_xlfn.CONCAT("['", C46, "' , '", C47, "' , '", C50, "' , '", C51, "']")</f>
        <v>['\lambda_{5}' , '\mu_{5}' , 'c_{5}' , 'K_{5}']</v>
      </c>
      <c r="U54" s="1" t="str">
        <f t="shared" si="30"/>
        <v>{}</v>
      </c>
    </row>
    <row r="55" spans="1:21" x14ac:dyDescent="0.5">
      <c r="A55" s="1">
        <v>54</v>
      </c>
      <c r="B55" s="1">
        <f t="shared" si="2"/>
        <v>5</v>
      </c>
      <c r="C55" s="1" t="str">
        <f>_xlfn.CONCAT("W_{",Table14[[#This Row],[dm]], "}")</f>
        <v>W_{5}</v>
      </c>
      <c r="D55" s="1" t="str">
        <f>_xlfn.CONCAT("W_tas_", Table14[[#This Row],[dm]])</f>
        <v>W_tas_5</v>
      </c>
      <c r="E55" s="1" t="str">
        <f t="shared" si="3"/>
        <v>CUSTOM</v>
      </c>
      <c r="F55" s="1" t="str">
        <f>_xlfn.CONCAT("TAS ", Table14[[#This Row],[dm]], " mean time to answer")</f>
        <v>TAS 5 mean time to answer</v>
      </c>
      <c r="G55" s="1" t="str">
        <f>_xlfn.CONCAT("Average time to complete a request in TAS ",Table14[[#This Row],[dm]])</f>
        <v>Average time to complete a request in TAS 5</v>
      </c>
      <c r="H55" s="1" t="b">
        <f t="shared" si="25"/>
        <v>1</v>
      </c>
      <c r="I55" s="1" t="str">
        <f t="shared" si="25"/>
        <v>OUT</v>
      </c>
      <c r="J55" s="1" t="str">
        <f t="shared" si="25"/>
        <v>T</v>
      </c>
      <c r="K55" s="1" t="str">
        <f t="shared" si="25"/>
        <v>s</v>
      </c>
      <c r="L55" s="1">
        <v>0</v>
      </c>
      <c r="M55" s="8">
        <v>2.2821385847059902E-3</v>
      </c>
      <c r="N55" s="8">
        <v>2.2821385847059902E-3</v>
      </c>
      <c r="O55" s="1" t="str">
        <f>Table14[[#This Row],[_units]]</f>
        <v>s</v>
      </c>
      <c r="P55" s="1">
        <f>Table14[[#This Row],[_min]]</f>
        <v>0</v>
      </c>
      <c r="Q55" s="1">
        <f>Table14[[#This Row],[_max]]</f>
        <v>2.2821385847059902E-3</v>
      </c>
      <c r="R55" s="1">
        <f>Table14[[#This Row],[_mean]]</f>
        <v>2.2821385847059902E-3</v>
      </c>
      <c r="S55" s="1" t="str">
        <f t="shared" si="5"/>
        <v>queue_time</v>
      </c>
      <c r="T55" s="1" t="str">
        <f t="shared" ref="T55" si="32">_xlfn.CONCAT("['", C49, "' , '", C53, "']")</f>
        <v>['\chi_{5}' , 'L_{5}']</v>
      </c>
      <c r="U55" s="1" t="str">
        <f t="shared" si="30"/>
        <v>{}</v>
      </c>
    </row>
    <row r="56" spans="1:21" x14ac:dyDescent="0.5">
      <c r="A56" s="1">
        <v>55</v>
      </c>
      <c r="B56" s="1">
        <f t="shared" si="2"/>
        <v>5</v>
      </c>
      <c r="C56" s="1" t="str">
        <f>_xlfn.CONCAT("Wq_{",Table14[[#This Row],[dm]], "}")</f>
        <v>Wq_{5}</v>
      </c>
      <c r="D56" s="1" t="str">
        <f>_xlfn.CONCAT("Wq_tas_", Table14[[#This Row],[dm]])</f>
        <v>Wq_tas_5</v>
      </c>
      <c r="E56" s="1" t="str">
        <f t="shared" si="3"/>
        <v>CUSTOM</v>
      </c>
      <c r="F56" s="1" t="str">
        <f>_xlfn.CONCAT("TAS ", Table14[[#This Row],[dm]], " mean time in buffer")</f>
        <v>TAS 5 mean time in buffer</v>
      </c>
      <c r="G56" s="1" t="str">
        <f>_xlfn.CONCAT("Average time for a request to transit the buffer in TAS ",Table14[[#This Row],[dm]])</f>
        <v>Average time for a request to transit the buffer in TAS 5</v>
      </c>
      <c r="H56" s="1" t="b">
        <f t="shared" si="25"/>
        <v>0</v>
      </c>
      <c r="I56" s="1" t="str">
        <f t="shared" si="25"/>
        <v>CTRL</v>
      </c>
      <c r="J56" s="1" t="str">
        <f t="shared" si="25"/>
        <v>T</v>
      </c>
      <c r="K56" s="1" t="str">
        <f t="shared" si="25"/>
        <v>s</v>
      </c>
      <c r="L56" s="1">
        <v>0</v>
      </c>
      <c r="M56" s="8">
        <v>3.95346131875801E-4</v>
      </c>
      <c r="N56" s="8">
        <v>3.95346131875801E-4</v>
      </c>
      <c r="O56" s="1" t="str">
        <f>Table14[[#This Row],[_units]]</f>
        <v>s</v>
      </c>
      <c r="P56" s="1">
        <f>Table14[[#This Row],[_min]]</f>
        <v>0</v>
      </c>
      <c r="Q56" s="1">
        <f>Table14[[#This Row],[_max]]</f>
        <v>3.95346131875801E-4</v>
      </c>
      <c r="R56" s="1">
        <f>Table14[[#This Row],[_mean]]</f>
        <v>3.95346131875801E-4</v>
      </c>
      <c r="S56" s="1" t="str">
        <f t="shared" si="5"/>
        <v>queue_time</v>
      </c>
      <c r="T56" s="1" t="str">
        <f t="shared" ref="T56" si="33">_xlfn.CONCAT("['", C49, "' , '", C54, "']")</f>
        <v>['\chi_{5}' , 'Lq_{5}']</v>
      </c>
      <c r="U56" s="1" t="str">
        <f t="shared" si="30"/>
        <v>{}</v>
      </c>
    </row>
    <row r="57" spans="1:21" x14ac:dyDescent="0.5">
      <c r="A57" s="1">
        <v>56</v>
      </c>
      <c r="B57" s="1">
        <f t="shared" si="2"/>
        <v>6</v>
      </c>
      <c r="C57" s="1" t="str">
        <f>_xlfn.CONCAT("\lambda_{", Table14[[#This Row],[dm]],"}")</f>
        <v>\lambda_{6}</v>
      </c>
      <c r="D57" s="1" t="str">
        <f>_xlfn.CONCAT("lambda_tas_", Table14[[#This Row],[dm]])</f>
        <v>lambda_tas_6</v>
      </c>
      <c r="E57" s="1" t="str">
        <f t="shared" si="3"/>
        <v>CUSTOM</v>
      </c>
      <c r="F57" s="1" t="str">
        <f>_xlfn.CONCAT("TAS ", Table14[[#This Row],[dm]], " arrival rate")</f>
        <v>TAS 6 arrival rate</v>
      </c>
      <c r="G57" s="1" t="str">
        <f>_xlfn.CONCAT("Arrival rate for TAS ",Table14[[#This Row],[dm]])</f>
        <v>Arrival rate for TAS 6</v>
      </c>
      <c r="H57" s="1" t="b">
        <f t="shared" si="25"/>
        <v>1</v>
      </c>
      <c r="I57" s="1" t="str">
        <f t="shared" si="25"/>
        <v>IN</v>
      </c>
      <c r="J57" s="1" t="str">
        <f t="shared" si="25"/>
        <v>E*T^-1</v>
      </c>
      <c r="K57" s="1" t="str">
        <f t="shared" si="25"/>
        <v>req/s</v>
      </c>
      <c r="L57" s="1">
        <f>0.1*112.5</f>
        <v>11.25</v>
      </c>
      <c r="M57" s="7">
        <f>1.9*112.5</f>
        <v>213.75</v>
      </c>
      <c r="N57" s="8">
        <f>AVERAGE(Table14[[#This Row],[_min]:[_max]])</f>
        <v>112.5</v>
      </c>
      <c r="O57" s="1" t="str">
        <f>Table14[[#This Row],[_units]]</f>
        <v>req/s</v>
      </c>
      <c r="P57" s="1">
        <f>Table14[[#This Row],[_min]]</f>
        <v>11.25</v>
      </c>
      <c r="Q57" s="1">
        <f>Table14[[#This Row],[_max]]</f>
        <v>213.75</v>
      </c>
      <c r="R57" s="1">
        <f>Table14[[#This Row],[_mean]]</f>
        <v>112.5</v>
      </c>
      <c r="S57" s="1" t="str">
        <f t="shared" si="5"/>
        <v>uniform</v>
      </c>
      <c r="T57" s="1" t="str">
        <f t="shared" si="0"/>
        <v>[]</v>
      </c>
      <c r="U57" s="1" t="str">
        <f>_xlfn.CONCAT("{'low': ", Table14[[#This Row],[_std_min]], ", 'high': ",Table14[[#This Row],[_std_max]],"}")</f>
        <v>{'low': 11.25, 'high': 213.75}</v>
      </c>
    </row>
    <row r="58" spans="1:21" x14ac:dyDescent="0.5">
      <c r="A58" s="1">
        <v>57</v>
      </c>
      <c r="B58" s="1">
        <f t="shared" si="2"/>
        <v>6</v>
      </c>
      <c r="C58" s="1" t="str">
        <f>_xlfn.CONCAT("\mu_{",Table14[[#This Row],[dm]], "}")</f>
        <v>\mu_{6}</v>
      </c>
      <c r="D58" s="1" t="str">
        <f>_xlfn.CONCAT("mu_tas_", Table14[[#This Row],[dm]])</f>
        <v>mu_tas_6</v>
      </c>
      <c r="E58" s="1" t="str">
        <f t="shared" si="3"/>
        <v>CUSTOM</v>
      </c>
      <c r="F58" s="1" t="str">
        <f>_xlfn.CONCAT("TAS ", Table14[[#This Row],[dm]], " service rate")</f>
        <v>TAS 6 service rate</v>
      </c>
      <c r="G58" s="1" t="str">
        <f>_xlfn.CONCAT("Service rate for TAS ",Table14[[#This Row],[dm]])</f>
        <v>Service rate for TAS 6</v>
      </c>
      <c r="H58" s="1" t="b">
        <f t="shared" si="25"/>
        <v>1</v>
      </c>
      <c r="I58" s="1" t="str">
        <f t="shared" si="25"/>
        <v>CTRL</v>
      </c>
      <c r="J58" s="1" t="str">
        <f t="shared" si="25"/>
        <v>E*T^-1</v>
      </c>
      <c r="K58" s="1" t="str">
        <f t="shared" si="25"/>
        <v>req/s</v>
      </c>
      <c r="L58" s="1">
        <f>0.1*880</f>
        <v>88</v>
      </c>
      <c r="M58" s="5">
        <f>1.9*880</f>
        <v>1672</v>
      </c>
      <c r="N58" s="4">
        <f>AVERAGE(Table14[[#This Row],[_min]:[_max]])</f>
        <v>880</v>
      </c>
      <c r="O58" s="1" t="str">
        <f>Table14[[#This Row],[_units]]</f>
        <v>req/s</v>
      </c>
      <c r="P58" s="1">
        <f>Table14[[#This Row],[_min]]</f>
        <v>88</v>
      </c>
      <c r="Q58" s="1">
        <f>Table14[[#This Row],[_max]]</f>
        <v>1672</v>
      </c>
      <c r="R58" s="1">
        <f>Table14[[#This Row],[_mean]]</f>
        <v>880</v>
      </c>
      <c r="S58" s="1" t="str">
        <f t="shared" si="5"/>
        <v>uniform</v>
      </c>
      <c r="T58" s="1" t="str">
        <f t="shared" si="0"/>
        <v>[]</v>
      </c>
      <c r="U58" s="1" t="str">
        <f>_xlfn.CONCAT("{'low': ", Table14[[#This Row],[_std_min]], ", 'high': ",Table14[[#This Row],[_std_max]],"}")</f>
        <v>{'low': 88, 'high': 1672}</v>
      </c>
    </row>
    <row r="59" spans="1:21" x14ac:dyDescent="0.5">
      <c r="A59" s="1">
        <v>58</v>
      </c>
      <c r="B59" s="1">
        <f t="shared" si="2"/>
        <v>6</v>
      </c>
      <c r="C59" s="1" t="str">
        <f>_xlfn.CONCAT("err_{",Table14[[#This Row],[dm]], "}")</f>
        <v>err_{6}</v>
      </c>
      <c r="D59" s="1" t="str">
        <f>_xlfn.CONCAT("err_tas_", Table14[[#This Row],[dm]])</f>
        <v>err_tas_6</v>
      </c>
      <c r="E59" s="1" t="str">
        <f t="shared" si="3"/>
        <v>CUSTOM</v>
      </c>
      <c r="F59" s="1" t="str">
        <f>_xlfn.CONCAT("TAS ", Table14[[#This Row],[dm]], " error probability")</f>
        <v>TAS 6 error probability</v>
      </c>
      <c r="G59" s="1" t="str">
        <f>_xlfn.CONCAT("Service error probability for TAS ",Table14[[#This Row],[dm]])</f>
        <v>Service error probability for TAS 6</v>
      </c>
      <c r="H59" s="1" t="b">
        <f t="shared" si="25"/>
        <v>0</v>
      </c>
      <c r="I59" s="1" t="str">
        <f t="shared" si="25"/>
        <v>CTRL</v>
      </c>
      <c r="J59" s="1" t="str">
        <f t="shared" si="25"/>
        <v>E*T^-1</v>
      </c>
      <c r="K59" s="1" t="str">
        <f t="shared" si="25"/>
        <v>n.a.</v>
      </c>
      <c r="L59" s="3">
        <v>0.08</v>
      </c>
      <c r="M59" s="3">
        <v>0.08</v>
      </c>
      <c r="N59" s="3">
        <v>0.08</v>
      </c>
      <c r="O59" s="1" t="str">
        <f>Table14[[#This Row],[_units]]</f>
        <v>n.a.</v>
      </c>
      <c r="P59" s="2">
        <f>Table14[[#This Row],[_min]]</f>
        <v>0.08</v>
      </c>
      <c r="Q59" s="2">
        <f>Table14[[#This Row],[_max]]</f>
        <v>0.08</v>
      </c>
      <c r="R59" s="2">
        <f>Table14[[#This Row],[_mean]]</f>
        <v>0.08</v>
      </c>
      <c r="S59" s="1" t="str">
        <f t="shared" si="5"/>
        <v>adjusted_uniform</v>
      </c>
      <c r="T59" s="1" t="str">
        <f t="shared" si="0"/>
        <v>[]</v>
      </c>
      <c r="U59" s="1" t="str">
        <f>_xlfn.CONCAT("{'constant': ",Table14[[#This Row],[_std_max]],"}")</f>
        <v>{'constant': 0.08}</v>
      </c>
    </row>
    <row r="60" spans="1:21" x14ac:dyDescent="0.5">
      <c r="A60" s="1">
        <v>59</v>
      </c>
      <c r="B60" s="1">
        <f t="shared" si="2"/>
        <v>6</v>
      </c>
      <c r="C60" s="1" t="str">
        <f>_xlfn.CONCAT("\chi_{",Table14[[#This Row],[dm]], "}")</f>
        <v>\chi_{6}</v>
      </c>
      <c r="D60" s="1" t="str">
        <f>_xlfn.CONCAT("chi_tas_", Table14[[#This Row],[dm]])</f>
        <v>chi_tas_6</v>
      </c>
      <c r="E60" s="1" t="str">
        <f t="shared" si="3"/>
        <v>CUSTOM</v>
      </c>
      <c r="F60" s="1" t="str">
        <f>_xlfn.CONCAT("TAS ", Table14[[#This Row],[dm]], " departure rate")</f>
        <v>TAS 6 departure rate</v>
      </c>
      <c r="G60" s="1" t="str">
        <f>_xlfn.CONCAT("Departure rate for TAS ",Table14[[#This Row],[dm]])</f>
        <v>Departure rate for TAS 6</v>
      </c>
      <c r="H60" s="1" t="b">
        <f t="shared" si="25"/>
        <v>1</v>
      </c>
      <c r="I60" s="1" t="str">
        <f t="shared" si="25"/>
        <v>CTRL</v>
      </c>
      <c r="J60" s="1" t="str">
        <f t="shared" si="25"/>
        <v>E*T^-1</v>
      </c>
      <c r="K60" s="1" t="str">
        <f t="shared" si="25"/>
        <v>req/s</v>
      </c>
      <c r="L60" s="1">
        <f>0.1*112.5</f>
        <v>11.25</v>
      </c>
      <c r="M60" s="7">
        <f>1.9*112.5</f>
        <v>213.75</v>
      </c>
      <c r="N60" s="6">
        <f>AVERAGE(Table14[[#This Row],[_min]:[_max]])</f>
        <v>112.5</v>
      </c>
      <c r="O60" s="1" t="str">
        <f>Table14[[#This Row],[_units]]</f>
        <v>req/s</v>
      </c>
      <c r="P60" s="1">
        <f>Table14[[#This Row],[_min]]</f>
        <v>11.25</v>
      </c>
      <c r="Q60" s="1">
        <f>Table14[[#This Row],[_max]]</f>
        <v>213.75</v>
      </c>
      <c r="R60" s="1">
        <f>Table14[[#This Row],[_mean]]</f>
        <v>112.5</v>
      </c>
      <c r="S60" s="1" t="str">
        <f t="shared" si="5"/>
        <v>adjusted_rate</v>
      </c>
      <c r="T60" s="1" t="str">
        <f t="shared" ref="T60" si="34">_xlfn.CONCAT("['", C57, "' , '", C59, "']")</f>
        <v>['\lambda_{6}' , 'err_{6}']</v>
      </c>
      <c r="U60" s="1" t="str">
        <f t="shared" ref="U60" si="35">_xlfn.CONCAT("{", "}")</f>
        <v>{}</v>
      </c>
    </row>
    <row r="61" spans="1:21" x14ac:dyDescent="0.5">
      <c r="A61" s="1">
        <v>60</v>
      </c>
      <c r="B61" s="1">
        <f t="shared" si="2"/>
        <v>6</v>
      </c>
      <c r="C61" s="1" t="str">
        <f>_xlfn.CONCAT("c_{",Table14[[#This Row],[dm]], "}")</f>
        <v>c_{6}</v>
      </c>
      <c r="D61" s="1" t="str">
        <f>_xlfn.CONCAT("c_tas_", Table14[[#This Row],[dm]])</f>
        <v>c_tas_6</v>
      </c>
      <c r="E61" s="1" t="str">
        <f t="shared" si="3"/>
        <v>CUSTOM</v>
      </c>
      <c r="F61" s="1" t="str">
        <f>_xlfn.CONCAT("TAS ", Table14[[#This Row],[dm]], " resourses")</f>
        <v>TAS 6 resourses</v>
      </c>
      <c r="G61" s="1" t="str">
        <f>_xlfn.CONCAT("Number of resources allocated in TAS ",Table14[[#This Row],[dm]])</f>
        <v>Number of resources allocated in TAS 6</v>
      </c>
      <c r="H61" s="1" t="b">
        <f t="shared" si="25"/>
        <v>1</v>
      </c>
      <c r="I61" s="1" t="str">
        <f t="shared" si="25"/>
        <v>IN</v>
      </c>
      <c r="J61" s="1" t="str">
        <f t="shared" si="25"/>
        <v>E</v>
      </c>
      <c r="K61" s="1" t="str">
        <f t="shared" si="25"/>
        <v>req</v>
      </c>
      <c r="L61" s="1">
        <v>1</v>
      </c>
      <c r="M61" s="1">
        <f>Table14[[#This Row],[_min]]+2</f>
        <v>3</v>
      </c>
      <c r="N61" s="1">
        <f>AVERAGE(Table14[[#This Row],[_min]:[_max]])</f>
        <v>2</v>
      </c>
      <c r="O61" s="1" t="str">
        <f>Table14[[#This Row],[_units]]</f>
        <v>req</v>
      </c>
      <c r="P61" s="1">
        <f>Table14[[#This Row],[_min]]</f>
        <v>1</v>
      </c>
      <c r="Q61" s="1">
        <f>Table14[[#This Row],[_max]]</f>
        <v>3</v>
      </c>
      <c r="R61" s="1">
        <f>Table14[[#This Row],[_mean]]</f>
        <v>2</v>
      </c>
      <c r="S61" s="1" t="str">
        <f t="shared" si="5"/>
        <v>uniform_int</v>
      </c>
      <c r="T61" s="1" t="str">
        <f t="shared" si="0"/>
        <v>[]</v>
      </c>
      <c r="U61" s="1" t="str">
        <f>_xlfn.CONCAT("{'low': ", Table14[[#This Row],[_std_min]], ", 'high': ",Table14[[#This Row],[_std_max]],"}")</f>
        <v>{'low': 1, 'high': 3}</v>
      </c>
    </row>
    <row r="62" spans="1:21" x14ac:dyDescent="0.5">
      <c r="A62" s="1">
        <v>61</v>
      </c>
      <c r="B62" s="1">
        <f t="shared" si="2"/>
        <v>6</v>
      </c>
      <c r="C62" s="1" t="str">
        <f>_xlfn.CONCAT("K_{",Table14[[#This Row],[dm]],"}")</f>
        <v>K_{6}</v>
      </c>
      <c r="D62" s="1" t="str">
        <f>_xlfn.CONCAT("K_tas_", Table14[[#This Row],[dm]])</f>
        <v>K_tas_6</v>
      </c>
      <c r="E62" s="1" t="str">
        <f t="shared" si="3"/>
        <v>CUSTOM</v>
      </c>
      <c r="F62" s="1" t="str">
        <f>_xlfn.CONCAT("TAS ", Table14[[#This Row],[dm]], " q-capacity")</f>
        <v>TAS 6 q-capacity</v>
      </c>
      <c r="G62" s="1" t="str">
        <f>_xlfn.CONCAT("Allocated request capacity in TAS ",Table14[[#This Row],[dm]]," memory buffer")</f>
        <v>Allocated request capacity in TAS 6 memory buffer</v>
      </c>
      <c r="H62" s="1" t="b">
        <f t="shared" ref="H62:K77" si="36">H51</f>
        <v>1</v>
      </c>
      <c r="I62" s="1" t="str">
        <f t="shared" si="36"/>
        <v>CTRL</v>
      </c>
      <c r="J62" s="1" t="str">
        <f t="shared" si="36"/>
        <v>E</v>
      </c>
      <c r="K62" s="1" t="str">
        <f t="shared" si="36"/>
        <v>req</v>
      </c>
      <c r="L62" s="1">
        <v>1</v>
      </c>
      <c r="M62" s="1">
        <f>Table14[[#This Row],[_min]]+10</f>
        <v>11</v>
      </c>
      <c r="N62" s="1">
        <f>AVERAGE(Table14[[#This Row],[_min]:[_max]])</f>
        <v>6</v>
      </c>
      <c r="O62" s="1" t="str">
        <f>Table14[[#This Row],[_units]]</f>
        <v>req</v>
      </c>
      <c r="P62" s="1">
        <f>Table14[[#This Row],[_min]]</f>
        <v>1</v>
      </c>
      <c r="Q62" s="1">
        <f>Table14[[#This Row],[_max]]</f>
        <v>11</v>
      </c>
      <c r="R62" s="1">
        <f>Table14[[#This Row],[_mean]]</f>
        <v>6</v>
      </c>
      <c r="S62" s="1" t="str">
        <f t="shared" si="5"/>
        <v>shifted_uniform_int</v>
      </c>
      <c r="T62" s="1" t="str">
        <f t="shared" ref="T62" si="37">_xlfn.CONCAT("['", C61, "']")</f>
        <v>['c_{6}']</v>
      </c>
      <c r="U62" s="1" t="str">
        <f>_xlfn.CONCAT("{'low': ", Table14[[#This Row],[_std_min]], ", 'high': ",Table14[[#This Row],[_std_max]],"}")</f>
        <v>{'low': 1, 'high': 11}</v>
      </c>
    </row>
    <row r="63" spans="1:21" x14ac:dyDescent="0.5">
      <c r="A63" s="1">
        <v>62</v>
      </c>
      <c r="B63" s="1">
        <f t="shared" si="2"/>
        <v>6</v>
      </c>
      <c r="C63" s="1" t="str">
        <f>_xlfn.CONCAT("\delta_{", Table14[[#This Row],[dm]],"}")</f>
        <v>\delta_{6}</v>
      </c>
      <c r="D63" s="1" t="str">
        <f>_xlfn.CONCAT("delta_tas_", Table14[[#This Row],[dm]])</f>
        <v>delta_tas_6</v>
      </c>
      <c r="E63" s="1" t="str">
        <f t="shared" si="3"/>
        <v>CUSTOM</v>
      </c>
      <c r="F63" s="1" t="str">
        <f>_xlfn.CONCAT("TAS ", Table14[[#This Row],[dm]], " req data density")</f>
        <v>TAS 6 req data density</v>
      </c>
      <c r="G63" s="1" t="str">
        <f>_xlfn.CONCAT("Data density for request in TAS ", Table14[[#This Row],[dm]], " expected data per requests")</f>
        <v>Data density for request in TAS 6 expected data per requests</v>
      </c>
      <c r="H63" s="1" t="b">
        <f t="shared" si="36"/>
        <v>0</v>
      </c>
      <c r="I63" s="1" t="str">
        <f t="shared" si="36"/>
        <v>IN</v>
      </c>
      <c r="J63" s="1" t="str">
        <f t="shared" si="36"/>
        <v>D*E^-1</v>
      </c>
      <c r="K63" s="1" t="str">
        <f t="shared" si="36"/>
        <v>kB/req</v>
      </c>
      <c r="L63" s="1">
        <v>128</v>
      </c>
      <c r="M63" s="1">
        <f>2*1000</f>
        <v>2000</v>
      </c>
      <c r="N63" s="1">
        <f>AVERAGE(Table14[[#This Row],[_min]:[_max]])</f>
        <v>1064</v>
      </c>
      <c r="O63" s="1" t="s">
        <v>11</v>
      </c>
      <c r="P63" s="1">
        <f>Table14[[#This Row],[_min]]*1024000</f>
        <v>131072000</v>
      </c>
      <c r="Q63" s="1">
        <f>Table14[[#This Row],[_max]]*1024000</f>
        <v>2048000000</v>
      </c>
      <c r="R63" s="1">
        <f>Table14[[#This Row],[_mean]]*1024000</f>
        <v>1089536000</v>
      </c>
      <c r="S63" s="1" t="str">
        <f t="shared" si="5"/>
        <v>uniform</v>
      </c>
      <c r="T63" s="1" t="str">
        <f t="shared" si="0"/>
        <v>[]</v>
      </c>
      <c r="U63" s="1" t="str">
        <f>_xlfn.CONCAT("{'low': ", Table14[[#This Row],[_std_min]], ", 'high': ",Table14[[#This Row],[_std_max]],"}")</f>
        <v>{'low': 131072000, 'high': 2048000000}</v>
      </c>
    </row>
    <row r="64" spans="1:21" x14ac:dyDescent="0.5">
      <c r="A64" s="1">
        <v>63</v>
      </c>
      <c r="B64" s="1">
        <f t="shared" si="2"/>
        <v>6</v>
      </c>
      <c r="C64" s="1" t="str">
        <f>_xlfn.CONCAT("L_{",Table14[[#This Row],[dm]], "}")</f>
        <v>L_{6}</v>
      </c>
      <c r="D64" s="1" t="str">
        <f>_xlfn.CONCAT("L_tas_", Table14[[#This Row],[dm]])</f>
        <v>L_tas_6</v>
      </c>
      <c r="E64" s="1" t="str">
        <f t="shared" si="3"/>
        <v>CUSTOM</v>
      </c>
      <c r="F64" s="1" t="str">
        <f>_xlfn.CONCAT("TAS ", Table14[[#This Row],[dm]], " mean processing requests")</f>
        <v>TAS 6 mean processing requests</v>
      </c>
      <c r="G64" s="1" t="str">
        <f>_xlfn.CONCAT("Average number of request in TAS ",Table14[[#This Row],[dm]], " component")</f>
        <v>Average number of request in TAS 6 component</v>
      </c>
      <c r="H64" s="1" t="b">
        <f t="shared" si="36"/>
        <v>1</v>
      </c>
      <c r="I64" s="1" t="str">
        <f t="shared" si="36"/>
        <v>CTRL</v>
      </c>
      <c r="J64" s="1" t="str">
        <f t="shared" si="36"/>
        <v>E</v>
      </c>
      <c r="K64" s="1" t="str">
        <f t="shared" si="36"/>
        <v>req</v>
      </c>
      <c r="L64" s="1">
        <v>1</v>
      </c>
      <c r="M64" s="1">
        <f>Table14[[#This Row],[_min]]+10</f>
        <v>11</v>
      </c>
      <c r="N64" s="1">
        <f>AVERAGE(Table14[[#This Row],[_min]:[_max]])</f>
        <v>6</v>
      </c>
      <c r="O64" s="1" t="str">
        <f>Table14[[#This Row],[_units]]</f>
        <v>req</v>
      </c>
      <c r="P64" s="1">
        <f>Table14[[#This Row],[_min]]</f>
        <v>1</v>
      </c>
      <c r="Q64" s="1">
        <f>Table14[[#This Row],[_max]]</f>
        <v>11</v>
      </c>
      <c r="R64" s="1">
        <f>Table14[[#This Row],[_mean]]</f>
        <v>6</v>
      </c>
      <c r="S64" s="1" t="str">
        <f t="shared" si="5"/>
        <v>queue_length</v>
      </c>
      <c r="T64" s="1" t="str">
        <f t="shared" ref="T64" si="38">_xlfn.CONCAT("['", C57, "' , '", C58, "' , '", C61, "' , '", C62, "']")</f>
        <v>['\lambda_{6}' , '\mu_{6}' , 'c_{6}' , 'K_{6}']</v>
      </c>
      <c r="U64" s="1" t="str">
        <f t="shared" ref="U64:U67" si="39">_xlfn.CONCAT("{", "}")</f>
        <v>{}</v>
      </c>
    </row>
    <row r="65" spans="1:21" x14ac:dyDescent="0.5">
      <c r="A65" s="1">
        <v>64</v>
      </c>
      <c r="B65" s="1">
        <f t="shared" si="2"/>
        <v>6</v>
      </c>
      <c r="C65" s="1" t="str">
        <f>_xlfn.CONCAT("Lq_{",Table14[[#This Row],[dm]], "}")</f>
        <v>Lq_{6}</v>
      </c>
      <c r="D65" s="1" t="str">
        <f>_xlfn.CONCAT("Lq_tas_", Table14[[#This Row],[dm]])</f>
        <v>Lq_tas_6</v>
      </c>
      <c r="E65" s="1" t="str">
        <f t="shared" si="3"/>
        <v>CUSTOM</v>
      </c>
      <c r="F65" s="1" t="str">
        <f>_xlfn.CONCAT("TAS ", Table14[[#This Row],[dm]], " mean in memory requests")</f>
        <v>TAS 6 mean in memory requests</v>
      </c>
      <c r="G65" s="1" t="str">
        <f>_xlfn.CONCAT("Average number of request in TAS ",Table14[[#This Row],[dm]], " memory")</f>
        <v>Average number of request in TAS 6 memory</v>
      </c>
      <c r="H65" s="1" t="b">
        <f t="shared" si="36"/>
        <v>0</v>
      </c>
      <c r="I65" s="1" t="str">
        <f t="shared" si="36"/>
        <v>CTRL</v>
      </c>
      <c r="J65" s="1" t="str">
        <f t="shared" si="36"/>
        <v>E</v>
      </c>
      <c r="K65" s="1" t="str">
        <f t="shared" si="36"/>
        <v>req</v>
      </c>
      <c r="L65" s="1">
        <v>1</v>
      </c>
      <c r="M65" s="1">
        <f>Table14[[#This Row],[_min]]+10</f>
        <v>11</v>
      </c>
      <c r="N65" s="1">
        <f>AVERAGE(Table14[[#This Row],[_min]:[_max]])</f>
        <v>6</v>
      </c>
      <c r="O65" s="1" t="str">
        <f>Table14[[#This Row],[_units]]</f>
        <v>req</v>
      </c>
      <c r="P65" s="1">
        <f>Table14[[#This Row],[_min]]</f>
        <v>1</v>
      </c>
      <c r="Q65" s="1">
        <f>Table14[[#This Row],[_max]]</f>
        <v>11</v>
      </c>
      <c r="R65" s="1">
        <f>Table14[[#This Row],[_mean]]</f>
        <v>6</v>
      </c>
      <c r="S65" s="1" t="str">
        <f t="shared" si="5"/>
        <v>queue_length</v>
      </c>
      <c r="T65" s="1" t="str">
        <f t="shared" ref="T65" si="40">_xlfn.CONCAT("['", C57, "' , '", C58, "' , '", C61, "' , '", C62, "']")</f>
        <v>['\lambda_{6}' , '\mu_{6}' , 'c_{6}' , 'K_{6}']</v>
      </c>
      <c r="U65" s="1" t="str">
        <f t="shared" si="39"/>
        <v>{}</v>
      </c>
    </row>
    <row r="66" spans="1:21" x14ac:dyDescent="0.5">
      <c r="A66" s="1">
        <v>65</v>
      </c>
      <c r="B66" s="1">
        <f t="shared" si="2"/>
        <v>6</v>
      </c>
      <c r="C66" s="1" t="str">
        <f>_xlfn.CONCAT("W_{",Table14[[#This Row],[dm]], "}")</f>
        <v>W_{6}</v>
      </c>
      <c r="D66" s="1" t="str">
        <f>_xlfn.CONCAT("W_tas_", Table14[[#This Row],[dm]])</f>
        <v>W_tas_6</v>
      </c>
      <c r="E66" s="1" t="str">
        <f t="shared" si="3"/>
        <v>CUSTOM</v>
      </c>
      <c r="F66" s="1" t="str">
        <f>_xlfn.CONCAT("TAS ", Table14[[#This Row],[dm]], " mean time to answer")</f>
        <v>TAS 6 mean time to answer</v>
      </c>
      <c r="G66" s="1" t="str">
        <f>_xlfn.CONCAT("Average time to complete a request in TAS ",Table14[[#This Row],[dm]])</f>
        <v>Average time to complete a request in TAS 6</v>
      </c>
      <c r="H66" s="1" t="b">
        <f t="shared" si="36"/>
        <v>1</v>
      </c>
      <c r="I66" s="1" t="str">
        <f t="shared" si="36"/>
        <v>OUT</v>
      </c>
      <c r="J66" s="1" t="str">
        <f t="shared" si="36"/>
        <v>T</v>
      </c>
      <c r="K66" s="1" t="str">
        <f t="shared" si="36"/>
        <v>s</v>
      </c>
      <c r="L66" s="1">
        <v>0</v>
      </c>
      <c r="M66" s="8">
        <v>2.1801262878032499E-2</v>
      </c>
      <c r="N66" s="8">
        <v>2.1801262878032499E-2</v>
      </c>
      <c r="O66" s="1" t="str">
        <f>Table14[[#This Row],[_units]]</f>
        <v>s</v>
      </c>
      <c r="P66" s="1">
        <f>Table14[[#This Row],[_min]]</f>
        <v>0</v>
      </c>
      <c r="Q66" s="1">
        <f>Table14[[#This Row],[_max]]</f>
        <v>2.1801262878032499E-2</v>
      </c>
      <c r="R66" s="1">
        <f>Table14[[#This Row],[_mean]]</f>
        <v>2.1801262878032499E-2</v>
      </c>
      <c r="S66" s="1" t="str">
        <f t="shared" si="5"/>
        <v>queue_time</v>
      </c>
      <c r="T66" s="1" t="str">
        <f t="shared" ref="T66" si="41">_xlfn.CONCAT("['", C60, "' , '", C64, "']")</f>
        <v>['\chi_{6}' , 'L_{6}']</v>
      </c>
      <c r="U66" s="1" t="str">
        <f t="shared" si="39"/>
        <v>{}</v>
      </c>
    </row>
    <row r="67" spans="1:21" x14ac:dyDescent="0.5">
      <c r="A67" s="1">
        <v>66</v>
      </c>
      <c r="B67" s="1">
        <f t="shared" si="2"/>
        <v>6</v>
      </c>
      <c r="C67" s="1" t="str">
        <f>_xlfn.CONCAT("Wq_{",Table14[[#This Row],[dm]], "}")</f>
        <v>Wq_{6}</v>
      </c>
      <c r="D67" s="1" t="str">
        <f>_xlfn.CONCAT("Wq_tas_", Table14[[#This Row],[dm]])</f>
        <v>Wq_tas_6</v>
      </c>
      <c r="E67" s="1" t="str">
        <f t="shared" si="3"/>
        <v>CUSTOM</v>
      </c>
      <c r="F67" s="1" t="str">
        <f>_xlfn.CONCAT("TAS ", Table14[[#This Row],[dm]], " mean time in buffer")</f>
        <v>TAS 6 mean time in buffer</v>
      </c>
      <c r="G67" s="1" t="str">
        <f>_xlfn.CONCAT("Average time for a request to transit the buffer in TAS ",Table14[[#This Row],[dm]])</f>
        <v>Average time for a request to transit the buffer in TAS 6</v>
      </c>
      <c r="H67" s="1" t="b">
        <f t="shared" si="36"/>
        <v>0</v>
      </c>
      <c r="I67" s="1" t="str">
        <f t="shared" si="36"/>
        <v>CTRL</v>
      </c>
      <c r="J67" s="1" t="str">
        <f t="shared" si="36"/>
        <v>T</v>
      </c>
      <c r="K67" s="1" t="str">
        <f t="shared" si="36"/>
        <v>s</v>
      </c>
      <c r="L67" s="1">
        <v>0</v>
      </c>
      <c r="M67" s="8">
        <v>1.5134596211365901E-2</v>
      </c>
      <c r="N67" s="8">
        <v>1.5134596211365901E-2</v>
      </c>
      <c r="O67" s="1" t="str">
        <f>Table14[[#This Row],[_units]]</f>
        <v>s</v>
      </c>
      <c r="P67" s="1">
        <f>Table14[[#This Row],[_min]]</f>
        <v>0</v>
      </c>
      <c r="Q67" s="1">
        <f>Table14[[#This Row],[_max]]</f>
        <v>1.5134596211365901E-2</v>
      </c>
      <c r="R67" s="1">
        <f>Table14[[#This Row],[_mean]]</f>
        <v>1.5134596211365901E-2</v>
      </c>
      <c r="S67" s="1" t="str">
        <f t="shared" si="5"/>
        <v>queue_time</v>
      </c>
      <c r="T67" s="1" t="str">
        <f t="shared" ref="T67" si="42">_xlfn.CONCAT("['", C60, "' , '", C65, "']")</f>
        <v>['\chi_{6}' , 'Lq_{6}']</v>
      </c>
      <c r="U67" s="1" t="str">
        <f t="shared" si="39"/>
        <v>{}</v>
      </c>
    </row>
    <row r="68" spans="1:21" x14ac:dyDescent="0.5">
      <c r="A68" s="1">
        <v>67</v>
      </c>
      <c r="B68" s="1">
        <f t="shared" si="2"/>
        <v>7</v>
      </c>
      <c r="C68" s="1" t="str">
        <f>_xlfn.CONCAT("\lambda_{", Table14[[#This Row],[dm]],"}")</f>
        <v>\lambda_{7}</v>
      </c>
      <c r="D68" s="1" t="str">
        <f>_xlfn.CONCAT("lambda_tas_", Table14[[#This Row],[dm]])</f>
        <v>lambda_tas_7</v>
      </c>
      <c r="E68" s="1" t="str">
        <f t="shared" si="3"/>
        <v>CUSTOM</v>
      </c>
      <c r="F68" s="1" t="str">
        <f>_xlfn.CONCAT("TAS ", Table14[[#This Row],[dm]], " arrival rate")</f>
        <v>TAS 7 arrival rate</v>
      </c>
      <c r="G68" s="1" t="str">
        <f>_xlfn.CONCAT("Arrival rate for TAS ",Table14[[#This Row],[dm]])</f>
        <v>Arrival rate for TAS 7</v>
      </c>
      <c r="H68" s="1" t="b">
        <f t="shared" si="36"/>
        <v>1</v>
      </c>
      <c r="I68" s="1" t="str">
        <f t="shared" si="36"/>
        <v>IN</v>
      </c>
      <c r="J68" s="1" t="str">
        <f t="shared" si="36"/>
        <v>E*T^-1</v>
      </c>
      <c r="K68" s="1" t="str">
        <f t="shared" si="36"/>
        <v>req/s</v>
      </c>
      <c r="L68" s="1">
        <f>0.1*78.3033707865168</f>
        <v>7.8303370786516799</v>
      </c>
      <c r="M68" s="7">
        <f>1.9*78.3033707865168</f>
        <v>148.77640449438189</v>
      </c>
      <c r="N68" s="8">
        <v>64.274081460674097</v>
      </c>
      <c r="O68" s="1" t="str">
        <f>Table14[[#This Row],[_units]]</f>
        <v>req/s</v>
      </c>
      <c r="P68" s="1">
        <f>Table14[[#This Row],[_min]]</f>
        <v>7.8303370786516799</v>
      </c>
      <c r="Q68" s="1">
        <f>Table14[[#This Row],[_max]]</f>
        <v>148.77640449438189</v>
      </c>
      <c r="R68" s="1">
        <f>Table14[[#This Row],[_mean]]</f>
        <v>64.274081460674097</v>
      </c>
      <c r="S68" s="1" t="str">
        <f t="shared" si="5"/>
        <v>uniform</v>
      </c>
      <c r="T68" s="1" t="str">
        <f t="shared" si="0"/>
        <v>[]</v>
      </c>
      <c r="U68" s="1" t="str">
        <f>_xlfn.CONCAT("{'low': ", Table14[[#This Row],[_std_min]], ", 'high': ",Table14[[#This Row],[_std_max]],"}")</f>
        <v>{'low': 7.83033707865168, 'high': 148.776404494382}</v>
      </c>
    </row>
    <row r="69" spans="1:21" x14ac:dyDescent="0.5">
      <c r="A69" s="1">
        <v>68</v>
      </c>
      <c r="B69" s="1">
        <f t="shared" si="2"/>
        <v>7</v>
      </c>
      <c r="C69" s="1" t="str">
        <f>_xlfn.CONCAT("\mu_{",Table14[[#This Row],[dm]], "}")</f>
        <v>\mu_{7}</v>
      </c>
      <c r="D69" s="1" t="str">
        <f>_xlfn.CONCAT("mu_tas_", Table14[[#This Row],[dm]])</f>
        <v>mu_tas_7</v>
      </c>
      <c r="E69" s="1" t="str">
        <f t="shared" si="3"/>
        <v>CUSTOM</v>
      </c>
      <c r="F69" s="1" t="str">
        <f>_xlfn.CONCAT("TAS ", Table14[[#This Row],[dm]], " service rate")</f>
        <v>TAS 7 service rate</v>
      </c>
      <c r="G69" s="1" t="str">
        <f>_xlfn.CONCAT("Service rate for TAS ",Table14[[#This Row],[dm]])</f>
        <v>Service rate for TAS 7</v>
      </c>
      <c r="H69" s="1" t="b">
        <f t="shared" si="36"/>
        <v>1</v>
      </c>
      <c r="I69" s="1" t="str">
        <f t="shared" si="36"/>
        <v>CTRL</v>
      </c>
      <c r="J69" s="1" t="str">
        <f t="shared" si="36"/>
        <v>E*T^-1</v>
      </c>
      <c r="K69" s="1" t="str">
        <f t="shared" si="36"/>
        <v>req/s</v>
      </c>
      <c r="L69" s="1">
        <f>0.1*700</f>
        <v>70</v>
      </c>
      <c r="M69" s="5">
        <f>1.9*700</f>
        <v>1330</v>
      </c>
      <c r="N69" s="4">
        <f>AVERAGE(Table14[[#This Row],[_min]:[_max]])</f>
        <v>700</v>
      </c>
      <c r="O69" s="1" t="str">
        <f>Table14[[#This Row],[_units]]</f>
        <v>req/s</v>
      </c>
      <c r="P69" s="1">
        <f>Table14[[#This Row],[_min]]</f>
        <v>70</v>
      </c>
      <c r="Q69" s="1">
        <f>Table14[[#This Row],[_max]]</f>
        <v>1330</v>
      </c>
      <c r="R69" s="1">
        <f>Table14[[#This Row],[_mean]]</f>
        <v>700</v>
      </c>
      <c r="S69" s="1" t="str">
        <f t="shared" si="5"/>
        <v>uniform</v>
      </c>
      <c r="T69" s="1" t="str">
        <f t="shared" si="0"/>
        <v>[]</v>
      </c>
      <c r="U69" s="1" t="str">
        <f>_xlfn.CONCAT("{'low': ", Table14[[#This Row],[_std_min]], ", 'high': ",Table14[[#This Row],[_std_max]],"}")</f>
        <v>{'low': 70, 'high': 1330}</v>
      </c>
    </row>
    <row r="70" spans="1:21" x14ac:dyDescent="0.5">
      <c r="A70" s="1">
        <v>69</v>
      </c>
      <c r="B70" s="1">
        <f t="shared" si="2"/>
        <v>7</v>
      </c>
      <c r="C70" s="1" t="str">
        <f>_xlfn.CONCAT("err_{",Table14[[#This Row],[dm]], "}")</f>
        <v>err_{7}</v>
      </c>
      <c r="D70" s="1" t="str">
        <f>_xlfn.CONCAT("err_tas_", Table14[[#This Row],[dm]])</f>
        <v>err_tas_7</v>
      </c>
      <c r="E70" s="1" t="str">
        <f t="shared" si="3"/>
        <v>CUSTOM</v>
      </c>
      <c r="F70" s="1" t="str">
        <f>_xlfn.CONCAT("TAS ", Table14[[#This Row],[dm]], " error probability")</f>
        <v>TAS 7 error probability</v>
      </c>
      <c r="G70" s="1" t="str">
        <f>_xlfn.CONCAT("Service error probability for TAS ",Table14[[#This Row],[dm]])</f>
        <v>Service error probability for TAS 7</v>
      </c>
      <c r="H70" s="1" t="b">
        <f t="shared" si="36"/>
        <v>0</v>
      </c>
      <c r="I70" s="1" t="str">
        <f t="shared" si="36"/>
        <v>CTRL</v>
      </c>
      <c r="J70" s="1" t="str">
        <f t="shared" si="36"/>
        <v>E*T^-1</v>
      </c>
      <c r="K70" s="1" t="str">
        <f t="shared" si="36"/>
        <v>n.a.</v>
      </c>
      <c r="L70" s="3">
        <v>0.11</v>
      </c>
      <c r="M70" s="3">
        <v>0.11</v>
      </c>
      <c r="N70" s="3">
        <f>AVERAGE(Table14[[#This Row],[_min]:[_max]])</f>
        <v>0.11</v>
      </c>
      <c r="O70" s="1" t="str">
        <f>Table14[[#This Row],[_units]]</f>
        <v>n.a.</v>
      </c>
      <c r="P70" s="1">
        <f>Table14[[#This Row],[_min]]</f>
        <v>0.11</v>
      </c>
      <c r="Q70" s="1">
        <f>Table14[[#This Row],[_max]]</f>
        <v>0.11</v>
      </c>
      <c r="R70" s="1">
        <f>Table14[[#This Row],[_mean]]</f>
        <v>0.11</v>
      </c>
      <c r="S70" s="1" t="str">
        <f t="shared" si="5"/>
        <v>adjusted_uniform</v>
      </c>
      <c r="T70" s="1" t="str">
        <f t="shared" si="0"/>
        <v>[]</v>
      </c>
      <c r="U70" s="1" t="str">
        <f>_xlfn.CONCAT("{'constant': ",Table14[[#This Row],[_std_max]],"}")</f>
        <v>{'constant': 0.11}</v>
      </c>
    </row>
    <row r="71" spans="1:21" x14ac:dyDescent="0.5">
      <c r="A71" s="1">
        <v>70</v>
      </c>
      <c r="B71" s="1">
        <f t="shared" si="2"/>
        <v>7</v>
      </c>
      <c r="C71" s="1" t="str">
        <f>_xlfn.CONCAT("\chi_{",Table14[[#This Row],[dm]], "}")</f>
        <v>\chi_{7}</v>
      </c>
      <c r="D71" s="1" t="str">
        <f>_xlfn.CONCAT("chi_tas_", Table14[[#This Row],[dm]])</f>
        <v>chi_tas_7</v>
      </c>
      <c r="E71" s="1" t="str">
        <f t="shared" si="3"/>
        <v>CUSTOM</v>
      </c>
      <c r="F71" s="1" t="str">
        <f>_xlfn.CONCAT("TAS ", Table14[[#This Row],[dm]], " departure rate")</f>
        <v>TAS 7 departure rate</v>
      </c>
      <c r="G71" s="1" t="str">
        <f>_xlfn.CONCAT("Departure rate for TAS ",Table14[[#This Row],[dm]])</f>
        <v>Departure rate for TAS 7</v>
      </c>
      <c r="H71" s="1" t="b">
        <f t="shared" si="36"/>
        <v>1</v>
      </c>
      <c r="I71" s="1" t="str">
        <f t="shared" si="36"/>
        <v>CTRL</v>
      </c>
      <c r="J71" s="1" t="str">
        <f t="shared" si="36"/>
        <v>E*T^-1</v>
      </c>
      <c r="K71" s="1" t="str">
        <f t="shared" si="36"/>
        <v>req/s</v>
      </c>
      <c r="L71" s="1">
        <f>0.1*78.3033707865168</f>
        <v>7.8303370786516799</v>
      </c>
      <c r="M71" s="7">
        <f>1.9*78.3033707865168</f>
        <v>148.77640449438189</v>
      </c>
      <c r="N71" s="6">
        <f>AVERAGE(Table14[[#This Row],[_min]:[_max]])</f>
        <v>78.30337078651678</v>
      </c>
      <c r="O71" s="1" t="str">
        <f>Table14[[#This Row],[_units]]</f>
        <v>req/s</v>
      </c>
      <c r="P71" s="1">
        <f>Table14[[#This Row],[_min]]</f>
        <v>7.8303370786516799</v>
      </c>
      <c r="Q71" s="1">
        <f>Table14[[#This Row],[_max]]</f>
        <v>148.77640449438189</v>
      </c>
      <c r="R71" s="1">
        <f>Table14[[#This Row],[_mean]]</f>
        <v>78.30337078651678</v>
      </c>
      <c r="S71" s="1" t="str">
        <f t="shared" si="5"/>
        <v>adjusted_rate</v>
      </c>
      <c r="T71" s="1" t="str">
        <f t="shared" ref="T71" si="43">_xlfn.CONCAT("['", C68, "' , '", C70, "']")</f>
        <v>['\lambda_{7}' , 'err_{7}']</v>
      </c>
      <c r="U71" s="1" t="str">
        <f t="shared" ref="U71" si="44">_xlfn.CONCAT("{", "}")</f>
        <v>{}</v>
      </c>
    </row>
    <row r="72" spans="1:21" x14ac:dyDescent="0.5">
      <c r="A72" s="1">
        <v>71</v>
      </c>
      <c r="B72" s="1">
        <f t="shared" si="2"/>
        <v>7</v>
      </c>
      <c r="C72" s="1" t="str">
        <f>_xlfn.CONCAT("c_{",Table14[[#This Row],[dm]], "}")</f>
        <v>c_{7}</v>
      </c>
      <c r="D72" s="1" t="str">
        <f>_xlfn.CONCAT("c_tas_", Table14[[#This Row],[dm]])</f>
        <v>c_tas_7</v>
      </c>
      <c r="E72" s="1" t="str">
        <f t="shared" si="3"/>
        <v>CUSTOM</v>
      </c>
      <c r="F72" s="1" t="str">
        <f>_xlfn.CONCAT("TAS ", Table14[[#This Row],[dm]], " resourses")</f>
        <v>TAS 7 resourses</v>
      </c>
      <c r="G72" s="1" t="str">
        <f>_xlfn.CONCAT("Number of resources allocated in TAS ",Table14[[#This Row],[dm]])</f>
        <v>Number of resources allocated in TAS 7</v>
      </c>
      <c r="H72" s="1" t="b">
        <f t="shared" si="36"/>
        <v>1</v>
      </c>
      <c r="I72" s="1" t="str">
        <f t="shared" si="36"/>
        <v>IN</v>
      </c>
      <c r="J72" s="1" t="str">
        <f t="shared" si="36"/>
        <v>E</v>
      </c>
      <c r="K72" s="1" t="str">
        <f t="shared" si="36"/>
        <v>req</v>
      </c>
      <c r="L72" s="1">
        <v>1</v>
      </c>
      <c r="M72" s="1">
        <f>Table14[[#This Row],[_min]]+1</f>
        <v>2</v>
      </c>
      <c r="N72" s="1">
        <f>AVERAGE(Table14[[#This Row],[_min]:[_max]])</f>
        <v>1.5</v>
      </c>
      <c r="O72" s="1" t="str">
        <f>Table14[[#This Row],[_units]]</f>
        <v>req</v>
      </c>
      <c r="P72" s="1">
        <f>Table14[[#This Row],[_min]]</f>
        <v>1</v>
      </c>
      <c r="Q72" s="1">
        <f>Table14[[#This Row],[_max]]</f>
        <v>2</v>
      </c>
      <c r="R72" s="1">
        <f>Table14[[#This Row],[_mean]]</f>
        <v>1.5</v>
      </c>
      <c r="S72" s="1" t="str">
        <f t="shared" si="5"/>
        <v>uniform_int</v>
      </c>
      <c r="T72" s="1" t="str">
        <f t="shared" si="0"/>
        <v>[]</v>
      </c>
      <c r="U72" s="1" t="str">
        <f>_xlfn.CONCAT("{'low': ", Table14[[#This Row],[_std_min]], ", 'high': ",Table14[[#This Row],[_std_max]],"}")</f>
        <v>{'low': 1, 'high': 2}</v>
      </c>
    </row>
    <row r="73" spans="1:21" x14ac:dyDescent="0.5">
      <c r="A73" s="1">
        <v>72</v>
      </c>
      <c r="B73" s="1">
        <f t="shared" si="2"/>
        <v>7</v>
      </c>
      <c r="C73" s="1" t="str">
        <f>_xlfn.CONCAT("K_{",Table14[[#This Row],[dm]],"}")</f>
        <v>K_{7}</v>
      </c>
      <c r="D73" s="1" t="str">
        <f>_xlfn.CONCAT("K_tas_", Table14[[#This Row],[dm]])</f>
        <v>K_tas_7</v>
      </c>
      <c r="E73" s="1" t="str">
        <f t="shared" si="3"/>
        <v>CUSTOM</v>
      </c>
      <c r="F73" s="1" t="str">
        <f>_xlfn.CONCAT("TAS ", Table14[[#This Row],[dm]], " q-capacity")</f>
        <v>TAS 7 q-capacity</v>
      </c>
      <c r="G73" s="1" t="str">
        <f>_xlfn.CONCAT("Allocated request capacity in TAS ",Table14[[#This Row],[dm]]," memory buffer")</f>
        <v>Allocated request capacity in TAS 7 memory buffer</v>
      </c>
      <c r="H73" s="1" t="b">
        <f t="shared" si="36"/>
        <v>1</v>
      </c>
      <c r="I73" s="1" t="str">
        <f t="shared" si="36"/>
        <v>CTRL</v>
      </c>
      <c r="J73" s="1" t="str">
        <f t="shared" si="36"/>
        <v>E</v>
      </c>
      <c r="K73" s="1" t="str">
        <f t="shared" si="36"/>
        <v>req</v>
      </c>
      <c r="L73" s="1">
        <v>1</v>
      </c>
      <c r="M73" s="1">
        <f>Table14[[#This Row],[_min]]+10</f>
        <v>11</v>
      </c>
      <c r="N73" s="1">
        <f>AVERAGE(Table14[[#This Row],[_min]:[_max]])</f>
        <v>6</v>
      </c>
      <c r="O73" s="1" t="str">
        <f>Table14[[#This Row],[_units]]</f>
        <v>req</v>
      </c>
      <c r="P73" s="1">
        <f>Table14[[#This Row],[_min]]</f>
        <v>1</v>
      </c>
      <c r="Q73" s="1">
        <f>Table14[[#This Row],[_max]]</f>
        <v>11</v>
      </c>
      <c r="R73" s="1">
        <f>Table14[[#This Row],[_mean]]</f>
        <v>6</v>
      </c>
      <c r="S73" s="1" t="str">
        <f t="shared" si="5"/>
        <v>shifted_uniform_int</v>
      </c>
      <c r="T73" s="1" t="str">
        <f t="shared" ref="T73" si="45">_xlfn.CONCAT("['", C72, "']")</f>
        <v>['c_{7}']</v>
      </c>
      <c r="U73" s="1" t="str">
        <f>_xlfn.CONCAT("{'low': ", Table14[[#This Row],[_std_min]], ", 'high': ",Table14[[#This Row],[_std_max]],"}")</f>
        <v>{'low': 1, 'high': 11}</v>
      </c>
    </row>
    <row r="74" spans="1:21" x14ac:dyDescent="0.5">
      <c r="A74" s="1">
        <v>73</v>
      </c>
      <c r="B74" s="1">
        <f t="shared" si="2"/>
        <v>7</v>
      </c>
      <c r="C74" s="1" t="str">
        <f>_xlfn.CONCAT("\delta_{", Table14[[#This Row],[dm]],"}")</f>
        <v>\delta_{7}</v>
      </c>
      <c r="D74" s="1" t="str">
        <f>_xlfn.CONCAT("delta_tas_", Table14[[#This Row],[dm]])</f>
        <v>delta_tas_7</v>
      </c>
      <c r="E74" s="1" t="str">
        <f t="shared" si="3"/>
        <v>CUSTOM</v>
      </c>
      <c r="F74" s="1" t="str">
        <f>_xlfn.CONCAT("TAS ", Table14[[#This Row],[dm]], " req data density")</f>
        <v>TAS 7 req data density</v>
      </c>
      <c r="G74" s="1" t="str">
        <f>_xlfn.CONCAT("Data density for request in TAS ", Table14[[#This Row],[dm]], " expected data per requests")</f>
        <v>Data density for request in TAS 7 expected data per requests</v>
      </c>
      <c r="H74" s="1" t="b">
        <f t="shared" si="36"/>
        <v>0</v>
      </c>
      <c r="I74" s="1" t="str">
        <f t="shared" si="36"/>
        <v>IN</v>
      </c>
      <c r="J74" s="1" t="str">
        <f t="shared" si="36"/>
        <v>D*E^-1</v>
      </c>
      <c r="K74" s="1" t="str">
        <f t="shared" si="36"/>
        <v>kB/req</v>
      </c>
      <c r="L74" s="1">
        <v>128</v>
      </c>
      <c r="M74" s="1">
        <f>2*1000</f>
        <v>2000</v>
      </c>
      <c r="N74" s="1">
        <f>AVERAGE(Table14[[#This Row],[_min]:[_max]])</f>
        <v>1064</v>
      </c>
      <c r="O74" s="1" t="s">
        <v>11</v>
      </c>
      <c r="P74" s="1">
        <f>Table14[[#This Row],[_min]]*1024000</f>
        <v>131072000</v>
      </c>
      <c r="Q74" s="1">
        <f>Table14[[#This Row],[_max]]*1024000</f>
        <v>2048000000</v>
      </c>
      <c r="R74" s="1">
        <f>Table14[[#This Row],[_mean]]*1024000</f>
        <v>1089536000</v>
      </c>
      <c r="S74" s="1" t="str">
        <f t="shared" si="5"/>
        <v>uniform</v>
      </c>
      <c r="T74" s="1" t="str">
        <f t="shared" si="0"/>
        <v>[]</v>
      </c>
      <c r="U74" s="1" t="str">
        <f>_xlfn.CONCAT("{'low': ", Table14[[#This Row],[_std_min]], ", 'high': ",Table14[[#This Row],[_std_max]],"}")</f>
        <v>{'low': 131072000, 'high': 2048000000}</v>
      </c>
    </row>
    <row r="75" spans="1:21" x14ac:dyDescent="0.5">
      <c r="A75" s="1">
        <v>74</v>
      </c>
      <c r="B75" s="1">
        <f t="shared" si="2"/>
        <v>7</v>
      </c>
      <c r="C75" s="1" t="str">
        <f>_xlfn.CONCAT("L_{",Table14[[#This Row],[dm]], "}")</f>
        <v>L_{7}</v>
      </c>
      <c r="D75" s="1" t="str">
        <f>_xlfn.CONCAT("L_tas_", Table14[[#This Row],[dm]])</f>
        <v>L_tas_7</v>
      </c>
      <c r="E75" s="1" t="str">
        <f t="shared" si="3"/>
        <v>CUSTOM</v>
      </c>
      <c r="F75" s="1" t="str">
        <f>_xlfn.CONCAT("TAS ", Table14[[#This Row],[dm]], " mean processing requests")</f>
        <v>TAS 7 mean processing requests</v>
      </c>
      <c r="G75" s="1" t="str">
        <f>_xlfn.CONCAT("Average number of request in TAS ",Table14[[#This Row],[dm]], " component")</f>
        <v>Average number of request in TAS 7 component</v>
      </c>
      <c r="H75" s="1" t="b">
        <f t="shared" si="36"/>
        <v>1</v>
      </c>
      <c r="I75" s="1" t="str">
        <f t="shared" si="36"/>
        <v>CTRL</v>
      </c>
      <c r="J75" s="1" t="str">
        <f t="shared" si="36"/>
        <v>E</v>
      </c>
      <c r="K75" s="1" t="str">
        <f t="shared" si="36"/>
        <v>req</v>
      </c>
      <c r="L75" s="1">
        <v>1</v>
      </c>
      <c r="M75" s="1">
        <f>Table14[[#This Row],[_min]]+10</f>
        <v>11</v>
      </c>
      <c r="N75" s="1">
        <f>AVERAGE(Table14[[#This Row],[_min]:[_max]])</f>
        <v>6</v>
      </c>
      <c r="O75" s="1" t="str">
        <f>Table14[[#This Row],[_units]]</f>
        <v>req</v>
      </c>
      <c r="P75" s="1">
        <f>Table14[[#This Row],[_min]]</f>
        <v>1</v>
      </c>
      <c r="Q75" s="1">
        <f>Table14[[#This Row],[_max]]</f>
        <v>11</v>
      </c>
      <c r="R75" s="1">
        <f>Table14[[#This Row],[_mean]]</f>
        <v>6</v>
      </c>
      <c r="S75" s="1" t="str">
        <f t="shared" si="5"/>
        <v>queue_length</v>
      </c>
      <c r="T75" s="1" t="str">
        <f t="shared" ref="T75" si="46">_xlfn.CONCAT("['", C68, "' , '", C69, "' , '", C72, "' , '", C73, "']")</f>
        <v>['\lambda_{7}' , '\mu_{7}' , 'c_{7}' , 'K_{7}']</v>
      </c>
      <c r="U75" s="1" t="str">
        <f t="shared" ref="U75:U78" si="47">_xlfn.CONCAT("{", "}")</f>
        <v>{}</v>
      </c>
    </row>
    <row r="76" spans="1:21" x14ac:dyDescent="0.5">
      <c r="A76" s="1">
        <v>75</v>
      </c>
      <c r="B76" s="1">
        <f t="shared" si="2"/>
        <v>7</v>
      </c>
      <c r="C76" s="1" t="str">
        <f>_xlfn.CONCAT("Lq_{",Table14[[#This Row],[dm]], "}")</f>
        <v>Lq_{7}</v>
      </c>
      <c r="D76" s="1" t="str">
        <f>_xlfn.CONCAT("Lq_tas_", Table14[[#This Row],[dm]])</f>
        <v>Lq_tas_7</v>
      </c>
      <c r="E76" s="1" t="str">
        <f t="shared" si="3"/>
        <v>CUSTOM</v>
      </c>
      <c r="F76" s="1" t="str">
        <f>_xlfn.CONCAT("TAS ", Table14[[#This Row],[dm]], " mean in memory requests")</f>
        <v>TAS 7 mean in memory requests</v>
      </c>
      <c r="G76" s="1" t="str">
        <f>_xlfn.CONCAT("Average number of request in TAS ",Table14[[#This Row],[dm]], " memory")</f>
        <v>Average number of request in TAS 7 memory</v>
      </c>
      <c r="H76" s="1" t="b">
        <f t="shared" si="36"/>
        <v>0</v>
      </c>
      <c r="I76" s="1" t="str">
        <f t="shared" si="36"/>
        <v>CTRL</v>
      </c>
      <c r="J76" s="1" t="str">
        <f t="shared" si="36"/>
        <v>E</v>
      </c>
      <c r="K76" s="1" t="str">
        <f t="shared" si="36"/>
        <v>req</v>
      </c>
      <c r="L76" s="1">
        <v>1</v>
      </c>
      <c r="M76" s="1">
        <f>Table14[[#This Row],[_min]]+10</f>
        <v>11</v>
      </c>
      <c r="N76" s="1">
        <f>AVERAGE(Table14[[#This Row],[_min]:[_max]])</f>
        <v>6</v>
      </c>
      <c r="O76" s="1" t="str">
        <f>Table14[[#This Row],[_units]]</f>
        <v>req</v>
      </c>
      <c r="P76" s="1">
        <f>Table14[[#This Row],[_min]]</f>
        <v>1</v>
      </c>
      <c r="Q76" s="1">
        <f>Table14[[#This Row],[_max]]</f>
        <v>11</v>
      </c>
      <c r="R76" s="1">
        <f>Table14[[#This Row],[_mean]]</f>
        <v>6</v>
      </c>
      <c r="S76" s="1" t="str">
        <f t="shared" si="5"/>
        <v>queue_length</v>
      </c>
      <c r="T76" s="1" t="str">
        <f t="shared" ref="T76" si="48">_xlfn.CONCAT("['", C68, "' , '", C69, "' , '", C72, "' , '", C73, "']")</f>
        <v>['\lambda_{7}' , '\mu_{7}' , 'c_{7}' , 'K_{7}']</v>
      </c>
      <c r="U76" s="1" t="str">
        <f t="shared" si="47"/>
        <v>{}</v>
      </c>
    </row>
    <row r="77" spans="1:21" x14ac:dyDescent="0.5">
      <c r="A77" s="1">
        <v>76</v>
      </c>
      <c r="B77" s="1">
        <f t="shared" si="2"/>
        <v>7</v>
      </c>
      <c r="C77" s="1" t="str">
        <f>_xlfn.CONCAT("W_{",Table14[[#This Row],[dm]], "}")</f>
        <v>W_{7}</v>
      </c>
      <c r="D77" s="1" t="str">
        <f>_xlfn.CONCAT("W_tas_", Table14[[#This Row],[dm]])</f>
        <v>W_tas_7</v>
      </c>
      <c r="E77" s="1" t="str">
        <f t="shared" si="3"/>
        <v>CUSTOM</v>
      </c>
      <c r="F77" s="1" t="str">
        <f>_xlfn.CONCAT("TAS ", Table14[[#This Row],[dm]], " mean time to answer")</f>
        <v>TAS 7 mean time to answer</v>
      </c>
      <c r="G77" s="1" t="str">
        <f>_xlfn.CONCAT("Average time to complete a request in TAS ",Table14[[#This Row],[dm]])</f>
        <v>Average time to complete a request in TAS 7</v>
      </c>
      <c r="H77" s="1" t="b">
        <f t="shared" si="36"/>
        <v>1</v>
      </c>
      <c r="I77" s="1" t="str">
        <f t="shared" si="36"/>
        <v>OUT</v>
      </c>
      <c r="J77" s="1" t="str">
        <f t="shared" si="36"/>
        <v>T</v>
      </c>
      <c r="K77" s="1" t="str">
        <f t="shared" si="36"/>
        <v>s</v>
      </c>
      <c r="L77" s="1">
        <v>0</v>
      </c>
      <c r="M77" s="8">
        <v>1.5730049237219199E-3</v>
      </c>
      <c r="N77" s="8">
        <v>1.5730049237219199E-3</v>
      </c>
      <c r="O77" s="1" t="str">
        <f>Table14[[#This Row],[_units]]</f>
        <v>s</v>
      </c>
      <c r="P77" s="1">
        <f>Table14[[#This Row],[_min]]</f>
        <v>0</v>
      </c>
      <c r="Q77" s="1">
        <f>Table14[[#This Row],[_max]]</f>
        <v>1.5730049237219199E-3</v>
      </c>
      <c r="R77" s="1">
        <f>Table14[[#This Row],[_mean]]</f>
        <v>1.5730049237219199E-3</v>
      </c>
      <c r="S77" s="1" t="str">
        <f t="shared" si="5"/>
        <v>queue_time</v>
      </c>
      <c r="T77" s="1" t="str">
        <f t="shared" ref="T77" si="49">_xlfn.CONCAT("['", C71, "' , '", C75, "']")</f>
        <v>['\chi_{7}' , 'L_{7}']</v>
      </c>
      <c r="U77" s="1" t="str">
        <f t="shared" si="47"/>
        <v>{}</v>
      </c>
    </row>
    <row r="78" spans="1:21" x14ac:dyDescent="0.5">
      <c r="A78" s="1">
        <v>77</v>
      </c>
      <c r="B78" s="1">
        <f t="shared" ref="B78:B96" si="50">B67+1</f>
        <v>7</v>
      </c>
      <c r="C78" s="1" t="str">
        <f>_xlfn.CONCAT("Wq_{",Table14[[#This Row],[dm]], "}")</f>
        <v>Wq_{7}</v>
      </c>
      <c r="D78" s="1" t="str">
        <f>_xlfn.CONCAT("Wq_tas_", Table14[[#This Row],[dm]])</f>
        <v>Wq_tas_7</v>
      </c>
      <c r="E78" s="1" t="str">
        <f t="shared" ref="E78:E141" si="51">E67</f>
        <v>CUSTOM</v>
      </c>
      <c r="F78" s="1" t="str">
        <f>_xlfn.CONCAT("TAS ", Table14[[#This Row],[dm]], " mean time in buffer")</f>
        <v>TAS 7 mean time in buffer</v>
      </c>
      <c r="G78" s="1" t="str">
        <f>_xlfn.CONCAT("Average time for a request to transit the buffer in TAS ",Table14[[#This Row],[dm]])</f>
        <v>Average time for a request to transit the buffer in TAS 7</v>
      </c>
      <c r="H78" s="1" t="b">
        <f t="shared" ref="H78:K93" si="52">H67</f>
        <v>0</v>
      </c>
      <c r="I78" s="1" t="str">
        <f t="shared" si="52"/>
        <v>CTRL</v>
      </c>
      <c r="J78" s="1" t="str">
        <f t="shared" si="52"/>
        <v>T</v>
      </c>
      <c r="K78" s="1" t="str">
        <f t="shared" si="52"/>
        <v>s</v>
      </c>
      <c r="L78" s="1">
        <v>0</v>
      </c>
      <c r="M78" s="8">
        <v>1.44433495150492E-4</v>
      </c>
      <c r="N78" s="8">
        <v>1.44433495150492E-4</v>
      </c>
      <c r="O78" s="1" t="str">
        <f>Table14[[#This Row],[_units]]</f>
        <v>s</v>
      </c>
      <c r="P78" s="1">
        <f>Table14[[#This Row],[_min]]</f>
        <v>0</v>
      </c>
      <c r="Q78" s="1">
        <f>Table14[[#This Row],[_max]]</f>
        <v>1.44433495150492E-4</v>
      </c>
      <c r="R78" s="1">
        <f>Table14[[#This Row],[_mean]]</f>
        <v>1.44433495150492E-4</v>
      </c>
      <c r="S78" s="1" t="str">
        <f t="shared" ref="S78:S141" si="53">S67</f>
        <v>queue_time</v>
      </c>
      <c r="T78" s="1" t="str">
        <f t="shared" ref="T78" si="54">_xlfn.CONCAT("['", C71, "' , '", C76, "']")</f>
        <v>['\chi_{7}' , 'Lq_{7}']</v>
      </c>
      <c r="U78" s="1" t="str">
        <f t="shared" si="47"/>
        <v>{}</v>
      </c>
    </row>
    <row r="79" spans="1:21" x14ac:dyDescent="0.5">
      <c r="A79" s="1">
        <v>78</v>
      </c>
      <c r="B79" s="1">
        <f t="shared" si="50"/>
        <v>8</v>
      </c>
      <c r="C79" s="1" t="str">
        <f>_xlfn.CONCAT("\lambda_{", Table14[[#This Row],[dm]],"}")</f>
        <v>\lambda_{8}</v>
      </c>
      <c r="D79" s="1" t="str">
        <f>_xlfn.CONCAT("lambda_tas_", Table14[[#This Row],[dm]])</f>
        <v>lambda_tas_8</v>
      </c>
      <c r="E79" s="1" t="str">
        <f t="shared" si="51"/>
        <v>CUSTOM</v>
      </c>
      <c r="F79" s="1" t="str">
        <f>_xlfn.CONCAT("TAS ", Table14[[#This Row],[dm]], " arrival rate")</f>
        <v>TAS 8 arrival rate</v>
      </c>
      <c r="G79" s="1" t="str">
        <f>_xlfn.CONCAT("Arrival rate for TAS ",Table14[[#This Row],[dm]])</f>
        <v>Arrival rate for TAS 8</v>
      </c>
      <c r="H79" s="1" t="b">
        <f t="shared" si="52"/>
        <v>1</v>
      </c>
      <c r="I79" s="1" t="str">
        <f t="shared" si="52"/>
        <v>IN</v>
      </c>
      <c r="J79" s="1" t="str">
        <f t="shared" si="52"/>
        <v>E*T^-1</v>
      </c>
      <c r="K79" s="1" t="str">
        <f t="shared" si="52"/>
        <v>req/s</v>
      </c>
      <c r="L79" s="1">
        <f>0.1*72.59375</f>
        <v>7.2593750000000004</v>
      </c>
      <c r="M79" s="7">
        <f>1.9*72.59375</f>
        <v>137.92812499999999</v>
      </c>
      <c r="N79" s="8">
        <f>AVERAGE(Table14[[#This Row],[_min]:[_max]])</f>
        <v>72.59375</v>
      </c>
      <c r="O79" s="1" t="str">
        <f>Table14[[#This Row],[_units]]</f>
        <v>req/s</v>
      </c>
      <c r="P79" s="1">
        <f>Table14[[#This Row],[_min]]</f>
        <v>7.2593750000000004</v>
      </c>
      <c r="Q79" s="1">
        <f>Table14[[#This Row],[_max]]</f>
        <v>137.92812499999999</v>
      </c>
      <c r="R79" s="1">
        <f>Table14[[#This Row],[_mean]]</f>
        <v>72.59375</v>
      </c>
      <c r="S79" s="1" t="str">
        <f t="shared" si="53"/>
        <v>uniform</v>
      </c>
      <c r="T79" s="1" t="str">
        <f t="shared" si="0"/>
        <v>[]</v>
      </c>
      <c r="U79" s="1" t="str">
        <f>_xlfn.CONCAT("{'low': ", Table14[[#This Row],[_std_min]], ", 'high': ",Table14[[#This Row],[_std_max]],"}")</f>
        <v>{'low': 7.259375, 'high': 137.928125}</v>
      </c>
    </row>
    <row r="80" spans="1:21" x14ac:dyDescent="0.5">
      <c r="A80" s="1">
        <v>79</v>
      </c>
      <c r="B80" s="1">
        <f t="shared" si="50"/>
        <v>8</v>
      </c>
      <c r="C80" s="1" t="str">
        <f>_xlfn.CONCAT("\mu_{",Table14[[#This Row],[dm]], "}")</f>
        <v>\mu_{8}</v>
      </c>
      <c r="D80" s="1" t="str">
        <f>_xlfn.CONCAT("mu_tas_", Table14[[#This Row],[dm]])</f>
        <v>mu_tas_8</v>
      </c>
      <c r="E80" s="1" t="str">
        <f t="shared" si="51"/>
        <v>CUSTOM</v>
      </c>
      <c r="F80" s="1" t="str">
        <f>_xlfn.CONCAT("TAS ", Table14[[#This Row],[dm]], " service rate")</f>
        <v>TAS 8 service rate</v>
      </c>
      <c r="G80" s="1" t="str">
        <f>_xlfn.CONCAT("Service rate for TAS ",Table14[[#This Row],[dm]])</f>
        <v>Service rate for TAS 8</v>
      </c>
      <c r="H80" s="1" t="b">
        <f t="shared" si="52"/>
        <v>1</v>
      </c>
      <c r="I80" s="1" t="str">
        <f t="shared" si="52"/>
        <v>CTRL</v>
      </c>
      <c r="J80" s="1" t="str">
        <f t="shared" si="52"/>
        <v>E*T^-1</v>
      </c>
      <c r="K80" s="1" t="str">
        <f t="shared" si="52"/>
        <v>req/s</v>
      </c>
      <c r="L80" s="1">
        <f>0.1*410</f>
        <v>41</v>
      </c>
      <c r="M80" s="5">
        <f>1.9*410</f>
        <v>779</v>
      </c>
      <c r="N80" s="4">
        <f>AVERAGE(Table14[[#This Row],[_min]:[_max]])</f>
        <v>410</v>
      </c>
      <c r="O80" s="1" t="str">
        <f>Table14[[#This Row],[_units]]</f>
        <v>req/s</v>
      </c>
      <c r="P80" s="1">
        <f>Table14[[#This Row],[_min]]</f>
        <v>41</v>
      </c>
      <c r="Q80" s="1">
        <f>Table14[[#This Row],[_max]]</f>
        <v>779</v>
      </c>
      <c r="R80" s="1">
        <f>Table14[[#This Row],[_mean]]</f>
        <v>410</v>
      </c>
      <c r="S80" s="1" t="str">
        <f t="shared" si="53"/>
        <v>uniform</v>
      </c>
      <c r="T80" s="1" t="str">
        <f t="shared" si="0"/>
        <v>[]</v>
      </c>
      <c r="U80" s="1" t="str">
        <f>_xlfn.CONCAT("{'low': ", Table14[[#This Row],[_std_min]], ", 'high': ",Table14[[#This Row],[_std_max]],"}")</f>
        <v>{'low': 41, 'high': 779}</v>
      </c>
    </row>
    <row r="81" spans="1:21" x14ac:dyDescent="0.5">
      <c r="A81" s="1">
        <v>80</v>
      </c>
      <c r="B81" s="1">
        <f t="shared" si="50"/>
        <v>8</v>
      </c>
      <c r="C81" s="1" t="str">
        <f>_xlfn.CONCAT("err_{",Table14[[#This Row],[dm]], "}")</f>
        <v>err_{8}</v>
      </c>
      <c r="D81" s="1" t="str">
        <f>_xlfn.CONCAT("err_tas_", Table14[[#This Row],[dm]])</f>
        <v>err_tas_8</v>
      </c>
      <c r="E81" s="1" t="str">
        <f t="shared" si="51"/>
        <v>CUSTOM</v>
      </c>
      <c r="F81" s="1" t="str">
        <f>_xlfn.CONCAT("TAS ", Table14[[#This Row],[dm]], " error probability")</f>
        <v>TAS 8 error probability</v>
      </c>
      <c r="G81" s="1" t="str">
        <f>_xlfn.CONCAT("Service error probability for TAS ",Table14[[#This Row],[dm]])</f>
        <v>Service error probability for TAS 8</v>
      </c>
      <c r="H81" s="1" t="b">
        <f t="shared" si="52"/>
        <v>0</v>
      </c>
      <c r="I81" s="1" t="str">
        <f t="shared" si="52"/>
        <v>CTRL</v>
      </c>
      <c r="J81" s="1" t="str">
        <f t="shared" si="52"/>
        <v>E*T^-1</v>
      </c>
      <c r="K81" s="1" t="str">
        <f t="shared" si="52"/>
        <v>n.a.</v>
      </c>
      <c r="L81" s="3">
        <v>0.04</v>
      </c>
      <c r="M81" s="3">
        <v>0.04</v>
      </c>
      <c r="N81" s="3">
        <v>0.04</v>
      </c>
      <c r="O81" s="1" t="str">
        <f>Table14[[#This Row],[_units]]</f>
        <v>n.a.</v>
      </c>
      <c r="P81" s="1">
        <f>Table14[[#This Row],[_min]]</f>
        <v>0.04</v>
      </c>
      <c r="Q81" s="1">
        <f>Table14[[#This Row],[_max]]</f>
        <v>0.04</v>
      </c>
      <c r="R81" s="1">
        <f>Table14[[#This Row],[_mean]]</f>
        <v>0.04</v>
      </c>
      <c r="S81" s="1" t="str">
        <f t="shared" si="53"/>
        <v>adjusted_uniform</v>
      </c>
      <c r="T81" s="1" t="str">
        <f t="shared" si="0"/>
        <v>[]</v>
      </c>
      <c r="U81" s="1" t="str">
        <f>_xlfn.CONCAT("{'constant': ",Table14[[#This Row],[_std_max]],"}")</f>
        <v>{'constant': 0.04}</v>
      </c>
    </row>
    <row r="82" spans="1:21" x14ac:dyDescent="0.5">
      <c r="A82" s="1">
        <v>81</v>
      </c>
      <c r="B82" s="1">
        <f t="shared" si="50"/>
        <v>8</v>
      </c>
      <c r="C82" s="1" t="str">
        <f>_xlfn.CONCAT("\chi_{",Table14[[#This Row],[dm]], "}")</f>
        <v>\chi_{8}</v>
      </c>
      <c r="D82" s="1" t="str">
        <f>_xlfn.CONCAT("chi_tas_", Table14[[#This Row],[dm]])</f>
        <v>chi_tas_8</v>
      </c>
      <c r="E82" s="1" t="str">
        <f t="shared" si="51"/>
        <v>CUSTOM</v>
      </c>
      <c r="F82" s="1" t="str">
        <f>_xlfn.CONCAT("TAS ", Table14[[#This Row],[dm]], " departure rate")</f>
        <v>TAS 8 departure rate</v>
      </c>
      <c r="G82" s="1" t="str">
        <f>_xlfn.CONCAT("Departure rate for TAS ",Table14[[#This Row],[dm]])</f>
        <v>Departure rate for TAS 8</v>
      </c>
      <c r="H82" s="1" t="b">
        <f t="shared" si="52"/>
        <v>1</v>
      </c>
      <c r="I82" s="1" t="str">
        <f t="shared" si="52"/>
        <v>CTRL</v>
      </c>
      <c r="J82" s="1" t="str">
        <f t="shared" si="52"/>
        <v>E*T^-1</v>
      </c>
      <c r="K82" s="1" t="str">
        <f t="shared" si="52"/>
        <v>req/s</v>
      </c>
      <c r="L82" s="1">
        <f>0.1*72.59375</f>
        <v>7.2593750000000004</v>
      </c>
      <c r="M82" s="7">
        <f>1.9*72.59375</f>
        <v>137.92812499999999</v>
      </c>
      <c r="N82" s="6">
        <f>AVERAGE(Table14[[#This Row],[_min]:[_max]])</f>
        <v>72.59375</v>
      </c>
      <c r="O82" s="1" t="str">
        <f>Table14[[#This Row],[_units]]</f>
        <v>req/s</v>
      </c>
      <c r="P82" s="1">
        <f>Table14[[#This Row],[_min]]</f>
        <v>7.2593750000000004</v>
      </c>
      <c r="Q82" s="1">
        <f>Table14[[#This Row],[_max]]</f>
        <v>137.92812499999999</v>
      </c>
      <c r="R82" s="1">
        <f>Table14[[#This Row],[_mean]]</f>
        <v>72.59375</v>
      </c>
      <c r="S82" s="1" t="str">
        <f t="shared" si="53"/>
        <v>adjusted_rate</v>
      </c>
      <c r="T82" s="1" t="str">
        <f t="shared" ref="T82" si="55">_xlfn.CONCAT("['", C79, "' , '", C81, "']")</f>
        <v>['\lambda_{8}' , 'err_{8}']</v>
      </c>
      <c r="U82" s="1" t="str">
        <f t="shared" ref="U82" si="56">_xlfn.CONCAT("{", "}")</f>
        <v>{}</v>
      </c>
    </row>
    <row r="83" spans="1:21" x14ac:dyDescent="0.5">
      <c r="A83" s="1">
        <v>82</v>
      </c>
      <c r="B83" s="1">
        <f t="shared" si="50"/>
        <v>8</v>
      </c>
      <c r="C83" s="1" t="str">
        <f>_xlfn.CONCAT("c_{",Table14[[#This Row],[dm]], "}")</f>
        <v>c_{8}</v>
      </c>
      <c r="D83" s="1" t="str">
        <f>_xlfn.CONCAT("c_tas_", Table14[[#This Row],[dm]])</f>
        <v>c_tas_8</v>
      </c>
      <c r="E83" s="1" t="str">
        <f t="shared" si="51"/>
        <v>CUSTOM</v>
      </c>
      <c r="F83" s="1" t="str">
        <f>_xlfn.CONCAT("TAS ", Table14[[#This Row],[dm]], " resourses")</f>
        <v>TAS 8 resourses</v>
      </c>
      <c r="G83" s="1" t="str">
        <f>_xlfn.CONCAT("Number of resources allocated in TAS ",Table14[[#This Row],[dm]])</f>
        <v>Number of resources allocated in TAS 8</v>
      </c>
      <c r="H83" s="1" t="b">
        <f t="shared" si="52"/>
        <v>1</v>
      </c>
      <c r="I83" s="1" t="str">
        <f t="shared" si="52"/>
        <v>IN</v>
      </c>
      <c r="J83" s="1" t="str">
        <f t="shared" si="52"/>
        <v>E</v>
      </c>
      <c r="K83" s="1" t="str">
        <f t="shared" si="52"/>
        <v>req</v>
      </c>
      <c r="L83" s="1">
        <v>1</v>
      </c>
      <c r="M83" s="1">
        <f>Table14[[#This Row],[_min]]+1</f>
        <v>2</v>
      </c>
      <c r="N83" s="1">
        <f>AVERAGE(Table14[[#This Row],[_min]:[_max]])</f>
        <v>1.5</v>
      </c>
      <c r="O83" s="1" t="str">
        <f>Table14[[#This Row],[_units]]</f>
        <v>req</v>
      </c>
      <c r="P83" s="1">
        <f>Table14[[#This Row],[_min]]</f>
        <v>1</v>
      </c>
      <c r="Q83" s="1">
        <f>Table14[[#This Row],[_max]]</f>
        <v>2</v>
      </c>
      <c r="R83" s="1">
        <f>Table14[[#This Row],[_mean]]</f>
        <v>1.5</v>
      </c>
      <c r="S83" s="1" t="str">
        <f t="shared" si="53"/>
        <v>uniform_int</v>
      </c>
      <c r="T83" s="1" t="str">
        <f t="shared" si="0"/>
        <v>[]</v>
      </c>
      <c r="U83" s="1" t="str">
        <f>_xlfn.CONCAT("{'low': ", Table14[[#This Row],[_std_min]], ", 'high': ",Table14[[#This Row],[_std_max]],"}")</f>
        <v>{'low': 1, 'high': 2}</v>
      </c>
    </row>
    <row r="84" spans="1:21" x14ac:dyDescent="0.5">
      <c r="A84" s="1">
        <v>83</v>
      </c>
      <c r="B84" s="1">
        <f t="shared" si="50"/>
        <v>8</v>
      </c>
      <c r="C84" s="1" t="str">
        <f>_xlfn.CONCAT("K_{",Table14[[#This Row],[dm]],"}")</f>
        <v>K_{8}</v>
      </c>
      <c r="D84" s="1" t="str">
        <f>_xlfn.CONCAT("K_tas_", Table14[[#This Row],[dm]])</f>
        <v>K_tas_8</v>
      </c>
      <c r="E84" s="1" t="str">
        <f t="shared" si="51"/>
        <v>CUSTOM</v>
      </c>
      <c r="F84" s="1" t="str">
        <f>_xlfn.CONCAT("TAS ", Table14[[#This Row],[dm]], " q-capacity")</f>
        <v>TAS 8 q-capacity</v>
      </c>
      <c r="G84" s="1" t="str">
        <f>_xlfn.CONCAT("Allocated request capacity in TAS ",Table14[[#This Row],[dm]]," memory buffer")</f>
        <v>Allocated request capacity in TAS 8 memory buffer</v>
      </c>
      <c r="H84" s="1" t="b">
        <f t="shared" si="52"/>
        <v>1</v>
      </c>
      <c r="I84" s="1" t="str">
        <f t="shared" si="52"/>
        <v>CTRL</v>
      </c>
      <c r="J84" s="1" t="str">
        <f t="shared" si="52"/>
        <v>E</v>
      </c>
      <c r="K84" s="1" t="str">
        <f t="shared" si="52"/>
        <v>req</v>
      </c>
      <c r="L84" s="1">
        <v>1</v>
      </c>
      <c r="M84" s="1">
        <f>Table14[[#This Row],[_min]]+10</f>
        <v>11</v>
      </c>
      <c r="N84" s="1">
        <f>AVERAGE(Table14[[#This Row],[_min]:[_max]])</f>
        <v>6</v>
      </c>
      <c r="O84" s="1" t="str">
        <f>Table14[[#This Row],[_units]]</f>
        <v>req</v>
      </c>
      <c r="P84" s="1">
        <f>Table14[[#This Row],[_min]]</f>
        <v>1</v>
      </c>
      <c r="Q84" s="1">
        <f>Table14[[#This Row],[_max]]</f>
        <v>11</v>
      </c>
      <c r="R84" s="1">
        <f>Table14[[#This Row],[_mean]]</f>
        <v>6</v>
      </c>
      <c r="S84" s="1" t="str">
        <f t="shared" si="53"/>
        <v>shifted_uniform_int</v>
      </c>
      <c r="T84" s="1" t="str">
        <f t="shared" ref="T84" si="57">_xlfn.CONCAT("['", C83, "']")</f>
        <v>['c_{8}']</v>
      </c>
      <c r="U84" s="1" t="str">
        <f>_xlfn.CONCAT("{'low': ", Table14[[#This Row],[_std_min]], ", 'high': ",Table14[[#This Row],[_std_max]],"}")</f>
        <v>{'low': 1, 'high': 11}</v>
      </c>
    </row>
    <row r="85" spans="1:21" x14ac:dyDescent="0.5">
      <c r="A85" s="1">
        <v>84</v>
      </c>
      <c r="B85" s="1">
        <f t="shared" si="50"/>
        <v>8</v>
      </c>
      <c r="C85" s="1" t="str">
        <f>_xlfn.CONCAT("\delta_{", Table14[[#This Row],[dm]],"}")</f>
        <v>\delta_{8}</v>
      </c>
      <c r="D85" s="1" t="str">
        <f>_xlfn.CONCAT("delta_tas_", Table14[[#This Row],[dm]])</f>
        <v>delta_tas_8</v>
      </c>
      <c r="E85" s="1" t="str">
        <f t="shared" si="51"/>
        <v>CUSTOM</v>
      </c>
      <c r="F85" s="1" t="str">
        <f>_xlfn.CONCAT("TAS ", Table14[[#This Row],[dm]], " req data density")</f>
        <v>TAS 8 req data density</v>
      </c>
      <c r="G85" s="1" t="str">
        <f>_xlfn.CONCAT("Data density for request in TAS ", Table14[[#This Row],[dm]], " expected data per requests")</f>
        <v>Data density for request in TAS 8 expected data per requests</v>
      </c>
      <c r="H85" s="1" t="b">
        <f t="shared" si="52"/>
        <v>0</v>
      </c>
      <c r="I85" s="1" t="str">
        <f t="shared" si="52"/>
        <v>IN</v>
      </c>
      <c r="J85" s="1" t="str">
        <f t="shared" si="52"/>
        <v>D*E^-1</v>
      </c>
      <c r="K85" s="1" t="str">
        <f t="shared" si="52"/>
        <v>kB/req</v>
      </c>
      <c r="L85" s="1">
        <v>128</v>
      </c>
      <c r="M85" s="1">
        <f>2*1000</f>
        <v>2000</v>
      </c>
      <c r="N85" s="1">
        <f>AVERAGE(Table14[[#This Row],[_min]:[_max]])</f>
        <v>1064</v>
      </c>
      <c r="O85" s="1" t="s">
        <v>11</v>
      </c>
      <c r="P85" s="1">
        <f>Table14[[#This Row],[_min]]*1024000</f>
        <v>131072000</v>
      </c>
      <c r="Q85" s="1">
        <f>Table14[[#This Row],[_max]]*1024000</f>
        <v>2048000000</v>
      </c>
      <c r="R85" s="1">
        <f>Table14[[#This Row],[_mean]]*1024000</f>
        <v>1089536000</v>
      </c>
      <c r="S85" s="1" t="str">
        <f t="shared" si="53"/>
        <v>uniform</v>
      </c>
      <c r="T85" s="1" t="str">
        <f t="shared" si="0"/>
        <v>[]</v>
      </c>
      <c r="U85" s="1" t="str">
        <f>_xlfn.CONCAT("{'low': ", Table14[[#This Row],[_std_min]], ", 'high': ",Table14[[#This Row],[_std_max]],"}")</f>
        <v>{'low': 131072000, 'high': 2048000000}</v>
      </c>
    </row>
    <row r="86" spans="1:21" x14ac:dyDescent="0.5">
      <c r="A86" s="1">
        <v>85</v>
      </c>
      <c r="B86" s="1">
        <f t="shared" si="50"/>
        <v>8</v>
      </c>
      <c r="C86" s="1" t="str">
        <f>_xlfn.CONCAT("L_{",Table14[[#This Row],[dm]], "}")</f>
        <v>L_{8}</v>
      </c>
      <c r="D86" s="1" t="str">
        <f>_xlfn.CONCAT("L_tas_", Table14[[#This Row],[dm]])</f>
        <v>L_tas_8</v>
      </c>
      <c r="E86" s="1" t="str">
        <f t="shared" si="51"/>
        <v>CUSTOM</v>
      </c>
      <c r="F86" s="1" t="str">
        <f>_xlfn.CONCAT("TAS ", Table14[[#This Row],[dm]], " mean processing requests")</f>
        <v>TAS 8 mean processing requests</v>
      </c>
      <c r="G86" s="1" t="str">
        <f>_xlfn.CONCAT("Average number of request in TAS ",Table14[[#This Row],[dm]], " component")</f>
        <v>Average number of request in TAS 8 component</v>
      </c>
      <c r="H86" s="1" t="b">
        <f t="shared" si="52"/>
        <v>1</v>
      </c>
      <c r="I86" s="1" t="str">
        <f t="shared" si="52"/>
        <v>CTRL</v>
      </c>
      <c r="J86" s="1" t="str">
        <f t="shared" si="52"/>
        <v>E</v>
      </c>
      <c r="K86" s="1" t="str">
        <f t="shared" si="52"/>
        <v>req</v>
      </c>
      <c r="L86" s="1">
        <v>1</v>
      </c>
      <c r="M86" s="1">
        <f>Table14[[#This Row],[_min]]+10</f>
        <v>11</v>
      </c>
      <c r="N86" s="1">
        <f>AVERAGE(Table14[[#This Row],[_min]:[_max]])</f>
        <v>6</v>
      </c>
      <c r="O86" s="1" t="str">
        <f>Table14[[#This Row],[_units]]</f>
        <v>req</v>
      </c>
      <c r="P86" s="1">
        <f>Table14[[#This Row],[_min]]</f>
        <v>1</v>
      </c>
      <c r="Q86" s="1">
        <f>Table14[[#This Row],[_max]]</f>
        <v>11</v>
      </c>
      <c r="R86" s="1">
        <f>Table14[[#This Row],[_mean]]</f>
        <v>6</v>
      </c>
      <c r="S86" s="1" t="str">
        <f t="shared" si="53"/>
        <v>queue_length</v>
      </c>
      <c r="T86" s="1" t="str">
        <f t="shared" ref="T86" si="58">_xlfn.CONCAT("['", C79, "' , '", C80, "' , '", C83, "' , '", C84, "']")</f>
        <v>['\lambda_{8}' , '\mu_{8}' , 'c_{8}' , 'K_{8}']</v>
      </c>
      <c r="U86" s="1" t="str">
        <f t="shared" ref="U86:U89" si="59">_xlfn.CONCAT("{", "}")</f>
        <v>{}</v>
      </c>
    </row>
    <row r="87" spans="1:21" x14ac:dyDescent="0.5">
      <c r="A87" s="1">
        <v>86</v>
      </c>
      <c r="B87" s="1">
        <f t="shared" si="50"/>
        <v>8</v>
      </c>
      <c r="C87" s="1" t="str">
        <f>_xlfn.CONCAT("Lq_{",Table14[[#This Row],[dm]], "}")</f>
        <v>Lq_{8}</v>
      </c>
      <c r="D87" s="1" t="str">
        <f>_xlfn.CONCAT("Lq_tas_", Table14[[#This Row],[dm]])</f>
        <v>Lq_tas_8</v>
      </c>
      <c r="E87" s="1" t="str">
        <f t="shared" si="51"/>
        <v>CUSTOM</v>
      </c>
      <c r="F87" s="1" t="str">
        <f>_xlfn.CONCAT("TAS ", Table14[[#This Row],[dm]], " mean in memory requests")</f>
        <v>TAS 8 mean in memory requests</v>
      </c>
      <c r="G87" s="1" t="str">
        <f>_xlfn.CONCAT("Average number of request in TAS ",Table14[[#This Row],[dm]], " memory")</f>
        <v>Average number of request in TAS 8 memory</v>
      </c>
      <c r="H87" s="1" t="b">
        <f t="shared" si="52"/>
        <v>0</v>
      </c>
      <c r="I87" s="1" t="str">
        <f t="shared" si="52"/>
        <v>CTRL</v>
      </c>
      <c r="J87" s="1" t="str">
        <f t="shared" si="52"/>
        <v>E</v>
      </c>
      <c r="K87" s="1" t="str">
        <f t="shared" si="52"/>
        <v>req</v>
      </c>
      <c r="L87" s="1">
        <v>1</v>
      </c>
      <c r="M87" s="1">
        <f>Table14[[#This Row],[_min]]+10</f>
        <v>11</v>
      </c>
      <c r="N87" s="1">
        <f>AVERAGE(Table14[[#This Row],[_min]:[_max]])</f>
        <v>6</v>
      </c>
      <c r="O87" s="1" t="str">
        <f>Table14[[#This Row],[_units]]</f>
        <v>req</v>
      </c>
      <c r="P87" s="1">
        <f>Table14[[#This Row],[_min]]</f>
        <v>1</v>
      </c>
      <c r="Q87" s="1">
        <f>Table14[[#This Row],[_max]]</f>
        <v>11</v>
      </c>
      <c r="R87" s="1">
        <f>Table14[[#This Row],[_mean]]</f>
        <v>6</v>
      </c>
      <c r="S87" s="1" t="str">
        <f t="shared" si="53"/>
        <v>queue_length</v>
      </c>
      <c r="T87" s="1" t="str">
        <f t="shared" ref="T87" si="60">_xlfn.CONCAT("['", C79, "' , '", C80, "' , '", C83, "' , '", C84, "']")</f>
        <v>['\lambda_{8}' , '\mu_{8}' , 'c_{8}' , 'K_{8}']</v>
      </c>
      <c r="U87" s="1" t="str">
        <f t="shared" si="59"/>
        <v>{}</v>
      </c>
    </row>
    <row r="88" spans="1:21" x14ac:dyDescent="0.5">
      <c r="A88" s="1">
        <v>87</v>
      </c>
      <c r="B88" s="1">
        <f t="shared" si="50"/>
        <v>8</v>
      </c>
      <c r="C88" s="1" t="str">
        <f>_xlfn.CONCAT("W_{",Table14[[#This Row],[dm]], "}")</f>
        <v>W_{8}</v>
      </c>
      <c r="D88" s="1" t="str">
        <f>_xlfn.CONCAT("W_tas_", Table14[[#This Row],[dm]])</f>
        <v>W_tas_8</v>
      </c>
      <c r="E88" s="1" t="str">
        <f t="shared" si="51"/>
        <v>CUSTOM</v>
      </c>
      <c r="F88" s="1" t="str">
        <f>_xlfn.CONCAT("TAS ", Table14[[#This Row],[dm]], " mean time to answer")</f>
        <v>TAS 8 mean time to answer</v>
      </c>
      <c r="G88" s="1" t="str">
        <f>_xlfn.CONCAT("Average time to complete a request in TAS ",Table14[[#This Row],[dm]])</f>
        <v>Average time to complete a request in TAS 8</v>
      </c>
      <c r="H88" s="1" t="b">
        <f t="shared" si="52"/>
        <v>1</v>
      </c>
      <c r="I88" s="1" t="str">
        <f t="shared" si="52"/>
        <v>OUT</v>
      </c>
      <c r="J88" s="1" t="str">
        <f t="shared" si="52"/>
        <v>T</v>
      </c>
      <c r="K88" s="1" t="str">
        <f t="shared" si="52"/>
        <v>s</v>
      </c>
      <c r="L88" s="1">
        <v>0</v>
      </c>
      <c r="M88" s="1">
        <v>2.8537789015622098E-3</v>
      </c>
      <c r="N88" s="1">
        <v>2.8537789015622098E-3</v>
      </c>
      <c r="O88" s="1" t="str">
        <f>Table14[[#This Row],[_units]]</f>
        <v>s</v>
      </c>
      <c r="P88" s="1">
        <f>Table14[[#This Row],[_min]]</f>
        <v>0</v>
      </c>
      <c r="Q88" s="1">
        <f>Table14[[#This Row],[_max]]</f>
        <v>2.8537789015622098E-3</v>
      </c>
      <c r="R88" s="1">
        <f>Table14[[#This Row],[_mean]]</f>
        <v>2.8537789015622098E-3</v>
      </c>
      <c r="S88" s="1" t="str">
        <f t="shared" si="53"/>
        <v>queue_time</v>
      </c>
      <c r="T88" s="1" t="str">
        <f t="shared" ref="T88" si="61">_xlfn.CONCAT("['", C82, "' , '", C86, "']")</f>
        <v>['\chi_{8}' , 'L_{8}']</v>
      </c>
      <c r="U88" s="1" t="str">
        <f t="shared" si="59"/>
        <v>{}</v>
      </c>
    </row>
    <row r="89" spans="1:21" x14ac:dyDescent="0.5">
      <c r="A89" s="1">
        <v>88</v>
      </c>
      <c r="B89" s="1">
        <f t="shared" si="50"/>
        <v>8</v>
      </c>
      <c r="C89" s="1" t="str">
        <f>_xlfn.CONCAT("Wq_{",Table14[[#This Row],[dm]], "}")</f>
        <v>Wq_{8}</v>
      </c>
      <c r="D89" s="1" t="str">
        <f>_xlfn.CONCAT("Wq_tas_", Table14[[#This Row],[dm]])</f>
        <v>Wq_tas_8</v>
      </c>
      <c r="E89" s="1" t="str">
        <f t="shared" si="51"/>
        <v>CUSTOM</v>
      </c>
      <c r="F89" s="1" t="str">
        <f>_xlfn.CONCAT("TAS ", Table14[[#This Row],[dm]], " mean time in buffer")</f>
        <v>TAS 8 mean time in buffer</v>
      </c>
      <c r="G89" s="1" t="str">
        <f>_xlfn.CONCAT("Average time for a request to transit the buffer in TAS ",Table14[[#This Row],[dm]])</f>
        <v>Average time for a request to transit the buffer in TAS 8</v>
      </c>
      <c r="H89" s="1" t="b">
        <f t="shared" si="52"/>
        <v>0</v>
      </c>
      <c r="I89" s="1" t="str">
        <f t="shared" si="52"/>
        <v>CTRL</v>
      </c>
      <c r="J89" s="1" t="str">
        <f t="shared" si="52"/>
        <v>T</v>
      </c>
      <c r="K89" s="1" t="str">
        <f t="shared" si="52"/>
        <v>s</v>
      </c>
      <c r="L89" s="1">
        <v>0</v>
      </c>
      <c r="M89" s="1">
        <v>4.1475451131831699E-4</v>
      </c>
      <c r="N89" s="1">
        <v>4.1475451131831699E-4</v>
      </c>
      <c r="O89" s="1" t="str">
        <f>Table14[[#This Row],[_units]]</f>
        <v>s</v>
      </c>
      <c r="P89" s="1">
        <f>Table14[[#This Row],[_min]]</f>
        <v>0</v>
      </c>
      <c r="Q89" s="1">
        <f>Table14[[#This Row],[_max]]</f>
        <v>4.1475451131831699E-4</v>
      </c>
      <c r="R89" s="1">
        <f>Table14[[#This Row],[_mean]]</f>
        <v>4.1475451131831699E-4</v>
      </c>
      <c r="S89" s="1" t="str">
        <f t="shared" si="53"/>
        <v>queue_time</v>
      </c>
      <c r="T89" s="1" t="str">
        <f t="shared" ref="T89" si="62">_xlfn.CONCAT("['", C82, "' , '", C87, "']")</f>
        <v>['\chi_{8}' , 'Lq_{8}']</v>
      </c>
      <c r="U89" s="1" t="str">
        <f t="shared" si="59"/>
        <v>{}</v>
      </c>
    </row>
    <row r="90" spans="1:21" x14ac:dyDescent="0.5">
      <c r="A90" s="1">
        <v>89</v>
      </c>
      <c r="B90" s="1">
        <f t="shared" si="50"/>
        <v>9</v>
      </c>
      <c r="C90" s="1" t="str">
        <f>_xlfn.CONCAT("\lambda_{", Table14[[#This Row],[dm]],"}")</f>
        <v>\lambda_{9}</v>
      </c>
      <c r="D90" s="1" t="str">
        <f>_xlfn.CONCAT("lambda_tas_", Table14[[#This Row],[dm]])</f>
        <v>lambda_tas_9</v>
      </c>
      <c r="E90" s="1" t="str">
        <f t="shared" si="51"/>
        <v>CUSTOM</v>
      </c>
      <c r="F90" s="1" t="str">
        <f>_xlfn.CONCAT("TAS ", Table14[[#This Row],[dm]], " arrival rate")</f>
        <v>TAS 9 arrival rate</v>
      </c>
      <c r="G90" s="1" t="str">
        <f>_xlfn.CONCAT("Arrival rate for TAS ",Table14[[#This Row],[dm]])</f>
        <v>Arrival rate for TAS 9</v>
      </c>
      <c r="H90" s="1" t="b">
        <f t="shared" si="52"/>
        <v>1</v>
      </c>
      <c r="I90" s="1" t="str">
        <f t="shared" si="52"/>
        <v>IN</v>
      </c>
      <c r="J90" s="1" t="str">
        <f t="shared" si="52"/>
        <v>E*T^-1</v>
      </c>
      <c r="K90" s="1" t="str">
        <f t="shared" si="52"/>
        <v>req/s</v>
      </c>
      <c r="L90" s="1">
        <f>0.1*38.7166666666666</f>
        <v>3.8716666666666599</v>
      </c>
      <c r="M90" s="7">
        <f>1.9*38.7166666666666</f>
        <v>73.561666666666525</v>
      </c>
      <c r="N90" s="8">
        <f>AVERAGE(Table14[[#This Row],[_min]:[_max]])</f>
        <v>38.71666666666659</v>
      </c>
      <c r="O90" s="1" t="str">
        <f>Table14[[#This Row],[_units]]</f>
        <v>req/s</v>
      </c>
      <c r="P90" s="1">
        <f>Table14[[#This Row],[_min]]</f>
        <v>3.8716666666666599</v>
      </c>
      <c r="Q90" s="1">
        <f>Table14[[#This Row],[_max]]</f>
        <v>73.561666666666525</v>
      </c>
      <c r="R90" s="1">
        <f>Table14[[#This Row],[_mean]]</f>
        <v>38.71666666666659</v>
      </c>
      <c r="S90" s="1" t="str">
        <f t="shared" si="53"/>
        <v>uniform</v>
      </c>
      <c r="T90" s="1" t="str">
        <f t="shared" si="0"/>
        <v>[]</v>
      </c>
      <c r="U90" s="1" t="str">
        <f>_xlfn.CONCAT("{'low': ", Table14[[#This Row],[_std_min]], ", 'high': ",Table14[[#This Row],[_std_max]],"}")</f>
        <v>{'low': 3.87166666666666, 'high': 73.5616666666665}</v>
      </c>
    </row>
    <row r="91" spans="1:21" x14ac:dyDescent="0.5">
      <c r="A91" s="1">
        <v>90</v>
      </c>
      <c r="B91" s="1">
        <f t="shared" si="50"/>
        <v>9</v>
      </c>
      <c r="C91" s="1" t="str">
        <f>_xlfn.CONCAT("\mu_{",Table14[[#This Row],[dm]], "}")</f>
        <v>\mu_{9}</v>
      </c>
      <c r="D91" s="1" t="str">
        <f>_xlfn.CONCAT("mu_tas_", Table14[[#This Row],[dm]])</f>
        <v>mu_tas_9</v>
      </c>
      <c r="E91" s="1" t="str">
        <f t="shared" si="51"/>
        <v>CUSTOM</v>
      </c>
      <c r="F91" s="1" t="str">
        <f>_xlfn.CONCAT("TAS ", Table14[[#This Row],[dm]], " service rate")</f>
        <v>TAS 9 service rate</v>
      </c>
      <c r="G91" s="1" t="str">
        <f>_xlfn.CONCAT("Service rate for TAS ",Table14[[#This Row],[dm]])</f>
        <v>Service rate for TAS 9</v>
      </c>
      <c r="H91" s="1" t="b">
        <f t="shared" si="52"/>
        <v>1</v>
      </c>
      <c r="I91" s="1" t="str">
        <f t="shared" si="52"/>
        <v>CTRL</v>
      </c>
      <c r="J91" s="1" t="str">
        <f t="shared" si="52"/>
        <v>E*T^-1</v>
      </c>
      <c r="K91" s="1" t="str">
        <f t="shared" si="52"/>
        <v>req/s</v>
      </c>
      <c r="L91" s="1">
        <f>0.1*210</f>
        <v>21</v>
      </c>
      <c r="M91" s="5">
        <f>1.9*210</f>
        <v>399</v>
      </c>
      <c r="N91" s="4">
        <f>AVERAGE(Table14[[#This Row],[_min]:[_max]])</f>
        <v>210</v>
      </c>
      <c r="O91" s="1" t="str">
        <f>Table14[[#This Row],[_units]]</f>
        <v>req/s</v>
      </c>
      <c r="P91" s="1">
        <f>Table14[[#This Row],[_min]]</f>
        <v>21</v>
      </c>
      <c r="Q91" s="1">
        <f>Table14[[#This Row],[_max]]</f>
        <v>399</v>
      </c>
      <c r="R91" s="1">
        <f>Table14[[#This Row],[_mean]]</f>
        <v>210</v>
      </c>
      <c r="S91" s="1" t="str">
        <f t="shared" si="53"/>
        <v>uniform</v>
      </c>
      <c r="T91" s="1" t="str">
        <f t="shared" si="0"/>
        <v>[]</v>
      </c>
      <c r="U91" s="1" t="str">
        <f>_xlfn.CONCAT("{'low': ", Table14[[#This Row],[_std_min]], ", 'high': ",Table14[[#This Row],[_std_max]],"}")</f>
        <v>{'low': 21, 'high': 399}</v>
      </c>
    </row>
    <row r="92" spans="1:21" x14ac:dyDescent="0.5">
      <c r="A92" s="1">
        <v>91</v>
      </c>
      <c r="B92" s="1">
        <f t="shared" si="50"/>
        <v>9</v>
      </c>
      <c r="C92" s="1" t="str">
        <f>_xlfn.CONCAT("err_{",Table14[[#This Row],[dm]], "}")</f>
        <v>err_{9}</v>
      </c>
      <c r="D92" s="1" t="str">
        <f>_xlfn.CONCAT("err_tas_", Table14[[#This Row],[dm]])</f>
        <v>err_tas_9</v>
      </c>
      <c r="E92" s="1" t="str">
        <f t="shared" si="51"/>
        <v>CUSTOM</v>
      </c>
      <c r="F92" s="1" t="str">
        <f>_xlfn.CONCAT("TAS ", Table14[[#This Row],[dm]], " error probability")</f>
        <v>TAS 9 error probability</v>
      </c>
      <c r="G92" s="1" t="str">
        <f>_xlfn.CONCAT("Service error probability for TAS ",Table14[[#This Row],[dm]])</f>
        <v>Service error probability for TAS 9</v>
      </c>
      <c r="H92" s="1" t="b">
        <f t="shared" si="52"/>
        <v>0</v>
      </c>
      <c r="I92" s="1" t="str">
        <f t="shared" si="52"/>
        <v>CTRL</v>
      </c>
      <c r="J92" s="1" t="str">
        <f t="shared" si="52"/>
        <v>E*T^-1</v>
      </c>
      <c r="K92" s="1" t="str">
        <f t="shared" si="52"/>
        <v>n.a.</v>
      </c>
      <c r="L92" s="3">
        <v>0.1</v>
      </c>
      <c r="M92" s="3">
        <v>0.1</v>
      </c>
      <c r="N92" s="3">
        <v>0.1</v>
      </c>
      <c r="O92" s="1" t="str">
        <f>Table14[[#This Row],[_units]]</f>
        <v>n.a.</v>
      </c>
      <c r="P92" s="1">
        <f>Table14[[#This Row],[_min]]</f>
        <v>0.1</v>
      </c>
      <c r="Q92" s="1">
        <f>Table14[[#This Row],[_max]]</f>
        <v>0.1</v>
      </c>
      <c r="R92" s="1">
        <f>Table14[[#This Row],[_mean]]</f>
        <v>0.1</v>
      </c>
      <c r="S92" s="1" t="str">
        <f t="shared" si="53"/>
        <v>adjusted_uniform</v>
      </c>
      <c r="T92" s="1" t="str">
        <f t="shared" si="0"/>
        <v>[]</v>
      </c>
      <c r="U92" s="1" t="str">
        <f>_xlfn.CONCAT("{'constant': ",Table14[[#This Row],[_std_max]],"}")</f>
        <v>{'constant': 0.1}</v>
      </c>
    </row>
    <row r="93" spans="1:21" x14ac:dyDescent="0.5">
      <c r="A93" s="1">
        <v>92</v>
      </c>
      <c r="B93" s="1">
        <f t="shared" si="50"/>
        <v>9</v>
      </c>
      <c r="C93" s="1" t="str">
        <f>_xlfn.CONCAT("\chi_{",Table14[[#This Row],[dm]], "}")</f>
        <v>\chi_{9}</v>
      </c>
      <c r="D93" s="1" t="str">
        <f>_xlfn.CONCAT("chi_tas_", Table14[[#This Row],[dm]])</f>
        <v>chi_tas_9</v>
      </c>
      <c r="E93" s="1" t="str">
        <f t="shared" si="51"/>
        <v>CUSTOM</v>
      </c>
      <c r="F93" s="1" t="str">
        <f>_xlfn.CONCAT("TAS ", Table14[[#This Row],[dm]], " departure rate")</f>
        <v>TAS 9 departure rate</v>
      </c>
      <c r="G93" s="1" t="str">
        <f>_xlfn.CONCAT("Departure rate for TAS ",Table14[[#This Row],[dm]])</f>
        <v>Departure rate for TAS 9</v>
      </c>
      <c r="H93" s="1" t="b">
        <f t="shared" si="52"/>
        <v>1</v>
      </c>
      <c r="I93" s="1" t="str">
        <f t="shared" si="52"/>
        <v>CTRL</v>
      </c>
      <c r="J93" s="1" t="str">
        <f t="shared" si="52"/>
        <v>E*T^-1</v>
      </c>
      <c r="K93" s="1" t="str">
        <f t="shared" si="52"/>
        <v>req/s</v>
      </c>
      <c r="L93" s="1">
        <f>0.1*38.7166666666666</f>
        <v>3.8716666666666599</v>
      </c>
      <c r="M93" s="7">
        <f>1.9*38.7166666666666</f>
        <v>73.561666666666525</v>
      </c>
      <c r="N93" s="6">
        <f>AVERAGE(Table14[[#This Row],[_min]:[_max]])</f>
        <v>38.71666666666659</v>
      </c>
      <c r="O93" s="1" t="str">
        <f>Table14[[#This Row],[_units]]</f>
        <v>req/s</v>
      </c>
      <c r="P93" s="1">
        <f>Table14[[#This Row],[_min]]</f>
        <v>3.8716666666666599</v>
      </c>
      <c r="Q93" s="1">
        <f>Table14[[#This Row],[_max]]</f>
        <v>73.561666666666525</v>
      </c>
      <c r="R93" s="1">
        <f>Table14[[#This Row],[_mean]]</f>
        <v>38.71666666666659</v>
      </c>
      <c r="S93" s="1" t="str">
        <f t="shared" si="53"/>
        <v>adjusted_rate</v>
      </c>
      <c r="T93" s="1" t="str">
        <f t="shared" ref="T93" si="63">_xlfn.CONCAT("['", C90, "' , '", C92, "']")</f>
        <v>['\lambda_{9}' , 'err_{9}']</v>
      </c>
      <c r="U93" s="1" t="str">
        <f t="shared" ref="U93" si="64">_xlfn.CONCAT("{", "}")</f>
        <v>{}</v>
      </c>
    </row>
    <row r="94" spans="1:21" x14ac:dyDescent="0.5">
      <c r="A94" s="1">
        <v>93</v>
      </c>
      <c r="B94" s="1">
        <f t="shared" si="50"/>
        <v>9</v>
      </c>
      <c r="C94" s="1" t="str">
        <f>_xlfn.CONCAT("c_{",Table14[[#This Row],[dm]], "}")</f>
        <v>c_{9}</v>
      </c>
      <c r="D94" s="1" t="str">
        <f>_xlfn.CONCAT("c_tas_", Table14[[#This Row],[dm]])</f>
        <v>c_tas_9</v>
      </c>
      <c r="E94" s="1" t="str">
        <f t="shared" si="51"/>
        <v>CUSTOM</v>
      </c>
      <c r="F94" s="1" t="str">
        <f>_xlfn.CONCAT("TAS ", Table14[[#This Row],[dm]], " resourses")</f>
        <v>TAS 9 resourses</v>
      </c>
      <c r="G94" s="1" t="str">
        <f>_xlfn.CONCAT("Number of resources allocated in TAS ",Table14[[#This Row],[dm]])</f>
        <v>Number of resources allocated in TAS 9</v>
      </c>
      <c r="H94" s="1" t="b">
        <f t="shared" ref="H94:K109" si="65">H83</f>
        <v>1</v>
      </c>
      <c r="I94" s="1" t="str">
        <f t="shared" si="65"/>
        <v>IN</v>
      </c>
      <c r="J94" s="1" t="str">
        <f t="shared" si="65"/>
        <v>E</v>
      </c>
      <c r="K94" s="1" t="str">
        <f t="shared" si="65"/>
        <v>req</v>
      </c>
      <c r="L94" s="1">
        <v>1</v>
      </c>
      <c r="M94" s="1">
        <f>Table14[[#This Row],[_min]]+2</f>
        <v>3</v>
      </c>
      <c r="N94" s="1">
        <f>AVERAGE(Table14[[#This Row],[_min]:[_max]])</f>
        <v>2</v>
      </c>
      <c r="O94" s="1" t="str">
        <f>Table14[[#This Row],[_units]]</f>
        <v>req</v>
      </c>
      <c r="P94" s="1">
        <f>Table14[[#This Row],[_min]]</f>
        <v>1</v>
      </c>
      <c r="Q94" s="1">
        <f>Table14[[#This Row],[_max]]</f>
        <v>3</v>
      </c>
      <c r="R94" s="1">
        <f>Table14[[#This Row],[_mean]]</f>
        <v>2</v>
      </c>
      <c r="S94" s="1" t="str">
        <f t="shared" si="53"/>
        <v>uniform_int</v>
      </c>
      <c r="T94" s="1" t="str">
        <f t="shared" si="0"/>
        <v>[]</v>
      </c>
      <c r="U94" s="1" t="str">
        <f>_xlfn.CONCAT("{'low': ", Table14[[#This Row],[_std_min]], ", 'high': ",Table14[[#This Row],[_std_max]],"}")</f>
        <v>{'low': 1, 'high': 3}</v>
      </c>
    </row>
    <row r="95" spans="1:21" x14ac:dyDescent="0.5">
      <c r="A95" s="1">
        <v>94</v>
      </c>
      <c r="B95" s="1">
        <f t="shared" si="50"/>
        <v>9</v>
      </c>
      <c r="C95" s="1" t="str">
        <f>_xlfn.CONCAT("K_{",Table14[[#This Row],[dm]],"}")</f>
        <v>K_{9}</v>
      </c>
      <c r="D95" s="1" t="str">
        <f>_xlfn.CONCAT("K_tas_", Table14[[#This Row],[dm]])</f>
        <v>K_tas_9</v>
      </c>
      <c r="E95" s="1" t="str">
        <f t="shared" si="51"/>
        <v>CUSTOM</v>
      </c>
      <c r="F95" s="1" t="str">
        <f>_xlfn.CONCAT("TAS ", Table14[[#This Row],[dm]], " q-capacity")</f>
        <v>TAS 9 q-capacity</v>
      </c>
      <c r="G95" s="1" t="str">
        <f>_xlfn.CONCAT("Allocated request capacity in TAS ",Table14[[#This Row],[dm]]," memory buffer")</f>
        <v>Allocated request capacity in TAS 9 memory buffer</v>
      </c>
      <c r="H95" s="1" t="b">
        <f t="shared" si="65"/>
        <v>1</v>
      </c>
      <c r="I95" s="1" t="str">
        <f t="shared" si="65"/>
        <v>CTRL</v>
      </c>
      <c r="J95" s="1" t="str">
        <f t="shared" si="65"/>
        <v>E</v>
      </c>
      <c r="K95" s="1" t="str">
        <f t="shared" si="65"/>
        <v>req</v>
      </c>
      <c r="L95" s="1">
        <v>1</v>
      </c>
      <c r="M95" s="1">
        <f>Table14[[#This Row],[_min]]+10</f>
        <v>11</v>
      </c>
      <c r="N95" s="1">
        <f>AVERAGE(Table14[[#This Row],[_min]:[_max]])</f>
        <v>6</v>
      </c>
      <c r="O95" s="1" t="str">
        <f>Table14[[#This Row],[_units]]</f>
        <v>req</v>
      </c>
      <c r="P95" s="1">
        <f>Table14[[#This Row],[_min]]</f>
        <v>1</v>
      </c>
      <c r="Q95" s="1">
        <f>Table14[[#This Row],[_max]]</f>
        <v>11</v>
      </c>
      <c r="R95" s="1">
        <f>Table14[[#This Row],[_mean]]</f>
        <v>6</v>
      </c>
      <c r="S95" s="1" t="str">
        <f t="shared" si="53"/>
        <v>shifted_uniform_int</v>
      </c>
      <c r="T95" s="1" t="str">
        <f t="shared" ref="T95" si="66">_xlfn.CONCAT("['", C94, "']")</f>
        <v>['c_{9}']</v>
      </c>
      <c r="U95" s="1" t="str">
        <f>_xlfn.CONCAT("{'low': ", Table14[[#This Row],[_std_min]], ", 'high': ",Table14[[#This Row],[_std_max]],"}")</f>
        <v>{'low': 1, 'high': 11}</v>
      </c>
    </row>
    <row r="96" spans="1:21" x14ac:dyDescent="0.5">
      <c r="A96" s="1">
        <v>95</v>
      </c>
      <c r="B96" s="1">
        <f t="shared" si="50"/>
        <v>9</v>
      </c>
      <c r="C96" s="1" t="str">
        <f>_xlfn.CONCAT("\delta_{", Table14[[#This Row],[dm]],"}")</f>
        <v>\delta_{9}</v>
      </c>
      <c r="D96" s="1" t="str">
        <f>_xlfn.CONCAT("delta_tas_", Table14[[#This Row],[dm]])</f>
        <v>delta_tas_9</v>
      </c>
      <c r="E96" s="1" t="str">
        <f t="shared" si="51"/>
        <v>CUSTOM</v>
      </c>
      <c r="F96" s="1" t="str">
        <f>_xlfn.CONCAT("TAS ", Table14[[#This Row],[dm]], " req data density")</f>
        <v>TAS 9 req data density</v>
      </c>
      <c r="G96" s="1" t="str">
        <f>_xlfn.CONCAT("Data density for request in TAS ", Table14[[#This Row],[dm]], " expected data per requests")</f>
        <v>Data density for request in TAS 9 expected data per requests</v>
      </c>
      <c r="H96" s="1" t="b">
        <f t="shared" si="65"/>
        <v>0</v>
      </c>
      <c r="I96" s="1" t="str">
        <f t="shared" si="65"/>
        <v>IN</v>
      </c>
      <c r="J96" s="1" t="str">
        <f t="shared" si="65"/>
        <v>D*E^-1</v>
      </c>
      <c r="K96" s="1" t="str">
        <f t="shared" si="65"/>
        <v>kB/req</v>
      </c>
      <c r="L96" s="1">
        <v>128</v>
      </c>
      <c r="M96" s="1">
        <f>2*1000</f>
        <v>2000</v>
      </c>
      <c r="N96" s="1">
        <f>AVERAGE(Table14[[#This Row],[_min]:[_max]])</f>
        <v>1064</v>
      </c>
      <c r="O96" s="1" t="s">
        <v>11</v>
      </c>
      <c r="P96" s="1">
        <f>Table14[[#This Row],[_min]]*1024000</f>
        <v>131072000</v>
      </c>
      <c r="Q96" s="1">
        <f>Table14[[#This Row],[_max]]*1024000</f>
        <v>2048000000</v>
      </c>
      <c r="R96" s="1">
        <f>Table14[[#This Row],[_mean]]*1024000</f>
        <v>1089536000</v>
      </c>
      <c r="S96" s="1" t="str">
        <f t="shared" si="53"/>
        <v>uniform</v>
      </c>
      <c r="T96" s="1" t="str">
        <f t="shared" si="0"/>
        <v>[]</v>
      </c>
      <c r="U96" s="1" t="str">
        <f>_xlfn.CONCAT("{'low': ", Table14[[#This Row],[_std_min]], ", 'high': ",Table14[[#This Row],[_std_max]],"}")</f>
        <v>{'low': 131072000, 'high': 2048000000}</v>
      </c>
    </row>
    <row r="97" spans="1:21" x14ac:dyDescent="0.5">
      <c r="A97" s="1">
        <v>96</v>
      </c>
      <c r="B97" s="1">
        <f>B86+1</f>
        <v>9</v>
      </c>
      <c r="C97" s="1" t="str">
        <f>_xlfn.CONCAT("L_{",Table14[[#This Row],[dm]], "}")</f>
        <v>L_{9}</v>
      </c>
      <c r="D97" s="1" t="str">
        <f>_xlfn.CONCAT("L_tas_", Table14[[#This Row],[dm]])</f>
        <v>L_tas_9</v>
      </c>
      <c r="E97" s="1" t="str">
        <f t="shared" si="51"/>
        <v>CUSTOM</v>
      </c>
      <c r="F97" s="1" t="str">
        <f>_xlfn.CONCAT("TAS ", Table14[[#This Row],[dm]], " mean processing requests")</f>
        <v>TAS 9 mean processing requests</v>
      </c>
      <c r="G97" s="1" t="str">
        <f>_xlfn.CONCAT("Average number of request in TAS ",Table14[[#This Row],[dm]], " component")</f>
        <v>Average number of request in TAS 9 component</v>
      </c>
      <c r="H97" s="1" t="b">
        <f t="shared" si="65"/>
        <v>1</v>
      </c>
      <c r="I97" s="1" t="str">
        <f t="shared" si="65"/>
        <v>CTRL</v>
      </c>
      <c r="J97" s="1" t="str">
        <f t="shared" si="65"/>
        <v>E</v>
      </c>
      <c r="K97" s="1" t="str">
        <f t="shared" si="65"/>
        <v>req</v>
      </c>
      <c r="L97" s="1">
        <v>1</v>
      </c>
      <c r="M97" s="1">
        <f>Table14[[#This Row],[_min]]+10</f>
        <v>11</v>
      </c>
      <c r="N97" s="1">
        <f>AVERAGE(Table14[[#This Row],[_min]:[_max]])</f>
        <v>6</v>
      </c>
      <c r="O97" s="1" t="str">
        <f>Table14[[#This Row],[_units]]</f>
        <v>req</v>
      </c>
      <c r="P97" s="1">
        <f>Table14[[#This Row],[_min]]</f>
        <v>1</v>
      </c>
      <c r="Q97" s="1">
        <f>Table14[[#This Row],[_max]]</f>
        <v>11</v>
      </c>
      <c r="R97" s="1">
        <f>Table14[[#This Row],[_mean]]</f>
        <v>6</v>
      </c>
      <c r="S97" s="1" t="str">
        <f t="shared" si="53"/>
        <v>queue_length</v>
      </c>
      <c r="T97" s="1" t="str">
        <f t="shared" ref="T97" si="67">_xlfn.CONCAT("['", C90, "' , '", C91, "' , '", C94, "' , '", C95, "']")</f>
        <v>['\lambda_{9}' , '\mu_{9}' , 'c_{9}' , 'K_{9}']</v>
      </c>
      <c r="U97" s="1" t="str">
        <f t="shared" ref="U97:U100" si="68">_xlfn.CONCAT("{", "}")</f>
        <v>{}</v>
      </c>
    </row>
    <row r="98" spans="1:21" x14ac:dyDescent="0.5">
      <c r="A98" s="1">
        <v>97</v>
      </c>
      <c r="B98" s="1">
        <f t="shared" ref="B98:B115" si="69">B87+1</f>
        <v>9</v>
      </c>
      <c r="C98" s="1" t="str">
        <f>_xlfn.CONCAT("Lq_{",Table14[[#This Row],[dm]], "}")</f>
        <v>Lq_{9}</v>
      </c>
      <c r="D98" s="1" t="str">
        <f>_xlfn.CONCAT("Lq_tas_", Table14[[#This Row],[dm]])</f>
        <v>Lq_tas_9</v>
      </c>
      <c r="E98" s="1" t="str">
        <f t="shared" si="51"/>
        <v>CUSTOM</v>
      </c>
      <c r="F98" s="1" t="str">
        <f>_xlfn.CONCAT("TAS ", Table14[[#This Row],[dm]], " mean in memory requests")</f>
        <v>TAS 9 mean in memory requests</v>
      </c>
      <c r="G98" s="1" t="str">
        <f>_xlfn.CONCAT("Average number of request in TAS ",Table14[[#This Row],[dm]], " memory")</f>
        <v>Average number of request in TAS 9 memory</v>
      </c>
      <c r="H98" s="1" t="b">
        <f t="shared" si="65"/>
        <v>0</v>
      </c>
      <c r="I98" s="1" t="str">
        <f t="shared" si="65"/>
        <v>CTRL</v>
      </c>
      <c r="J98" s="1" t="str">
        <f t="shared" si="65"/>
        <v>E</v>
      </c>
      <c r="K98" s="1" t="str">
        <f t="shared" si="65"/>
        <v>req</v>
      </c>
      <c r="L98" s="1">
        <v>1</v>
      </c>
      <c r="M98" s="1">
        <f>Table14[[#This Row],[_min]]+10</f>
        <v>11</v>
      </c>
      <c r="N98" s="1">
        <f>AVERAGE(Table14[[#This Row],[_min]:[_max]])</f>
        <v>6</v>
      </c>
      <c r="O98" s="1" t="str">
        <f>Table14[[#This Row],[_units]]</f>
        <v>req</v>
      </c>
      <c r="P98" s="1">
        <f>Table14[[#This Row],[_min]]</f>
        <v>1</v>
      </c>
      <c r="Q98" s="1">
        <f>Table14[[#This Row],[_max]]</f>
        <v>11</v>
      </c>
      <c r="R98" s="1">
        <f>Table14[[#This Row],[_mean]]</f>
        <v>6</v>
      </c>
      <c r="S98" s="1" t="str">
        <f t="shared" si="53"/>
        <v>queue_length</v>
      </c>
      <c r="T98" s="1" t="str">
        <f t="shared" ref="T98" si="70">_xlfn.CONCAT("['", C90, "' , '", C91, "' , '", C94, "' , '", C95, "']")</f>
        <v>['\lambda_{9}' , '\mu_{9}' , 'c_{9}' , 'K_{9}']</v>
      </c>
      <c r="U98" s="1" t="str">
        <f t="shared" si="68"/>
        <v>{}</v>
      </c>
    </row>
    <row r="99" spans="1:21" x14ac:dyDescent="0.5">
      <c r="A99" s="1">
        <v>98</v>
      </c>
      <c r="B99" s="1">
        <f t="shared" si="69"/>
        <v>9</v>
      </c>
      <c r="C99" s="1" t="str">
        <f>_xlfn.CONCAT("W_{",Table14[[#This Row],[dm]], "}")</f>
        <v>W_{9}</v>
      </c>
      <c r="D99" s="1" t="str">
        <f>_xlfn.CONCAT("W_tas_", Table14[[#This Row],[dm]])</f>
        <v>W_tas_9</v>
      </c>
      <c r="E99" s="1" t="str">
        <f t="shared" si="51"/>
        <v>CUSTOM</v>
      </c>
      <c r="F99" s="1" t="str">
        <f>_xlfn.CONCAT("TAS ", Table14[[#This Row],[dm]], " mean time to answer")</f>
        <v>TAS 9 mean time to answer</v>
      </c>
      <c r="G99" s="1" t="str">
        <f>_xlfn.CONCAT("Average time to complete a request in TAS ",Table14[[#This Row],[dm]])</f>
        <v>Average time to complete a request in TAS 9</v>
      </c>
      <c r="H99" s="1" t="b">
        <f t="shared" si="65"/>
        <v>1</v>
      </c>
      <c r="I99" s="1" t="str">
        <f t="shared" si="65"/>
        <v>OUT</v>
      </c>
      <c r="J99" s="1" t="str">
        <f t="shared" si="65"/>
        <v>T</v>
      </c>
      <c r="K99" s="1" t="str">
        <f t="shared" si="65"/>
        <v>s</v>
      </c>
      <c r="L99" s="1">
        <v>0</v>
      </c>
      <c r="M99" s="8">
        <v>6.6214680546859803E-4</v>
      </c>
      <c r="N99" s="8">
        <v>6.6214680546859803E-4</v>
      </c>
      <c r="O99" s="1" t="str">
        <f>Table14[[#This Row],[_units]]</f>
        <v>s</v>
      </c>
      <c r="P99" s="1">
        <f>Table14[[#This Row],[_min]]</f>
        <v>0</v>
      </c>
      <c r="Q99" s="1">
        <f>Table14[[#This Row],[_max]]</f>
        <v>6.6214680546859803E-4</v>
      </c>
      <c r="R99" s="1">
        <f>Table14[[#This Row],[_mean]]</f>
        <v>6.6214680546859803E-4</v>
      </c>
      <c r="S99" s="1" t="str">
        <f t="shared" si="53"/>
        <v>queue_time</v>
      </c>
      <c r="T99" s="1" t="str">
        <f t="shared" ref="T99" si="71">_xlfn.CONCAT("['", C93, "' , '", C97, "']")</f>
        <v>['\chi_{9}' , 'L_{9}']</v>
      </c>
      <c r="U99" s="1" t="str">
        <f t="shared" si="68"/>
        <v>{}</v>
      </c>
    </row>
    <row r="100" spans="1:21" x14ac:dyDescent="0.5">
      <c r="A100" s="1">
        <v>99</v>
      </c>
      <c r="B100" s="1">
        <f t="shared" si="69"/>
        <v>9</v>
      </c>
      <c r="C100" s="1" t="str">
        <f>_xlfn.CONCAT("Wq_{",Table14[[#This Row],[dm]], "}")</f>
        <v>Wq_{9}</v>
      </c>
      <c r="D100" s="1" t="str">
        <f>_xlfn.CONCAT("Wq_tas_", Table14[[#This Row],[dm]])</f>
        <v>Wq_tas_9</v>
      </c>
      <c r="E100" s="1" t="str">
        <f t="shared" si="51"/>
        <v>CUSTOM</v>
      </c>
      <c r="F100" s="1" t="str">
        <f>_xlfn.CONCAT("TAS ", Table14[[#This Row],[dm]], " mean time in buffer")</f>
        <v>TAS 9 mean time in buffer</v>
      </c>
      <c r="G100" s="1" t="str">
        <f>_xlfn.CONCAT("Average time for a request to transit the buffer in TAS ",Table14[[#This Row],[dm]])</f>
        <v>Average time for a request to transit the buffer in TAS 9</v>
      </c>
      <c r="H100" s="1" t="b">
        <f t="shared" si="65"/>
        <v>0</v>
      </c>
      <c r="I100" s="1" t="str">
        <f t="shared" si="65"/>
        <v>CTRL</v>
      </c>
      <c r="J100" s="1" t="str">
        <f t="shared" si="65"/>
        <v>T</v>
      </c>
      <c r="K100" s="1" t="str">
        <f t="shared" si="65"/>
        <v>s</v>
      </c>
      <c r="L100" s="1">
        <v>0</v>
      </c>
      <c r="M100" s="9">
        <v>2.9235413063535701E-5</v>
      </c>
      <c r="N100" s="9">
        <v>2.9235413063535701E-5</v>
      </c>
      <c r="O100" s="1" t="str">
        <f>Table14[[#This Row],[_units]]</f>
        <v>s</v>
      </c>
      <c r="P100" s="1">
        <f>Table14[[#This Row],[_min]]</f>
        <v>0</v>
      </c>
      <c r="Q100" s="1">
        <f>Table14[[#This Row],[_max]]</f>
        <v>2.9235413063535701E-5</v>
      </c>
      <c r="R100" s="1">
        <f>Table14[[#This Row],[_mean]]</f>
        <v>2.9235413063535701E-5</v>
      </c>
      <c r="S100" s="1" t="str">
        <f t="shared" si="53"/>
        <v>queue_time</v>
      </c>
      <c r="T100" s="1" t="str">
        <f t="shared" ref="T100" si="72">_xlfn.CONCAT("['", C93, "' , '", C98, "']")</f>
        <v>['\chi_{9}' , 'Lq_{9}']</v>
      </c>
      <c r="U100" s="1" t="str">
        <f t="shared" si="68"/>
        <v>{}</v>
      </c>
    </row>
    <row r="101" spans="1:21" x14ac:dyDescent="0.5">
      <c r="A101" s="1">
        <v>100</v>
      </c>
      <c r="B101" s="1">
        <f t="shared" si="69"/>
        <v>10</v>
      </c>
      <c r="C101" s="1" t="str">
        <f>_xlfn.CONCAT("\lambda_{", Table14[[#This Row],[dm]],"}")</f>
        <v>\lambda_{10}</v>
      </c>
      <c r="D101" s="1" t="str">
        <f>_xlfn.CONCAT("lambda_tas_", Table14[[#This Row],[dm]])</f>
        <v>lambda_tas_10</v>
      </c>
      <c r="E101" s="1" t="str">
        <f t="shared" si="51"/>
        <v>CUSTOM</v>
      </c>
      <c r="F101" s="1" t="str">
        <f>_xlfn.CONCAT("TAS ", Table14[[#This Row],[dm]], " arrival rate")</f>
        <v>TAS 10 arrival rate</v>
      </c>
      <c r="G101" s="1" t="str">
        <f>_xlfn.CONCAT("Arrival rate for TAS ",Table14[[#This Row],[dm]])</f>
        <v>Arrival rate for TAS 10</v>
      </c>
      <c r="H101" s="1" t="b">
        <f t="shared" si="65"/>
        <v>1</v>
      </c>
      <c r="I101" s="1" t="str">
        <f t="shared" si="65"/>
        <v>IN</v>
      </c>
      <c r="J101" s="1" t="str">
        <f t="shared" si="65"/>
        <v>E*T^-1</v>
      </c>
      <c r="K101" s="1" t="str">
        <f t="shared" si="65"/>
        <v>req/s</v>
      </c>
      <c r="L101" s="1">
        <f>0.1*258.75</f>
        <v>25.875</v>
      </c>
      <c r="M101" s="7">
        <f>1.9*258.75</f>
        <v>491.625</v>
      </c>
      <c r="N101" s="8">
        <f>AVERAGE(Table14[[#This Row],[_min]:[_max]])</f>
        <v>258.75</v>
      </c>
      <c r="O101" s="1" t="str">
        <f>Table14[[#This Row],[_units]]</f>
        <v>req/s</v>
      </c>
      <c r="P101" s="1">
        <f>Table14[[#This Row],[_min]]</f>
        <v>25.875</v>
      </c>
      <c r="Q101" s="1">
        <f>Table14[[#This Row],[_max]]</f>
        <v>491.625</v>
      </c>
      <c r="R101" s="1">
        <f>Table14[[#This Row],[_mean]]</f>
        <v>258.75</v>
      </c>
      <c r="S101" s="1" t="str">
        <f t="shared" si="53"/>
        <v>uniform</v>
      </c>
      <c r="T101" s="1" t="str">
        <f t="shared" si="0"/>
        <v>[]</v>
      </c>
      <c r="U101" s="1" t="str">
        <f>_xlfn.CONCAT("{'low': ", Table14[[#This Row],[_std_min]], ", 'high': ",Table14[[#This Row],[_std_max]],"}")</f>
        <v>{'low': 25.875, 'high': 491.625}</v>
      </c>
    </row>
    <row r="102" spans="1:21" x14ac:dyDescent="0.5">
      <c r="A102" s="1">
        <v>101</v>
      </c>
      <c r="B102" s="1">
        <f t="shared" si="69"/>
        <v>10</v>
      </c>
      <c r="C102" s="1" t="str">
        <f>_xlfn.CONCAT("\mu_{",Table14[[#This Row],[dm]], "}")</f>
        <v>\mu_{10}</v>
      </c>
      <c r="D102" s="1" t="str">
        <f>_xlfn.CONCAT("mu_tas_", Table14[[#This Row],[dm]])</f>
        <v>mu_tas_10</v>
      </c>
      <c r="E102" s="1" t="str">
        <f t="shared" si="51"/>
        <v>CUSTOM</v>
      </c>
      <c r="F102" s="1" t="str">
        <f>_xlfn.CONCAT("TAS ", Table14[[#This Row],[dm]], " service rate")</f>
        <v>TAS 10 service rate</v>
      </c>
      <c r="G102" s="1" t="str">
        <f>_xlfn.CONCAT("Service rate for TAS ",Table14[[#This Row],[dm]])</f>
        <v>Service rate for TAS 10</v>
      </c>
      <c r="H102" s="1" t="b">
        <f t="shared" si="65"/>
        <v>1</v>
      </c>
      <c r="I102" s="1" t="str">
        <f t="shared" si="65"/>
        <v>CTRL</v>
      </c>
      <c r="J102" s="1" t="str">
        <f t="shared" si="65"/>
        <v>E*T^-1</v>
      </c>
      <c r="K102" s="1" t="str">
        <f t="shared" si="65"/>
        <v>req/s</v>
      </c>
      <c r="L102" s="1">
        <f>0.1*700</f>
        <v>70</v>
      </c>
      <c r="M102" s="5">
        <f>1.9*700</f>
        <v>1330</v>
      </c>
      <c r="N102" s="4">
        <f>AVERAGE(Table14[[#This Row],[_min]:[_max]])</f>
        <v>700</v>
      </c>
      <c r="O102" s="1" t="str">
        <f>Table14[[#This Row],[_units]]</f>
        <v>req/s</v>
      </c>
      <c r="P102" s="1">
        <f>Table14[[#This Row],[_min]]</f>
        <v>70</v>
      </c>
      <c r="Q102" s="1">
        <f>Table14[[#This Row],[_max]]</f>
        <v>1330</v>
      </c>
      <c r="R102" s="1">
        <f>Table14[[#This Row],[_mean]]</f>
        <v>700</v>
      </c>
      <c r="S102" s="1" t="str">
        <f t="shared" si="53"/>
        <v>uniform</v>
      </c>
      <c r="T102" s="1" t="str">
        <f t="shared" si="0"/>
        <v>[]</v>
      </c>
      <c r="U102" s="1" t="str">
        <f>_xlfn.CONCAT("{'low': ", Table14[[#This Row],[_std_min]], ", 'high': ",Table14[[#This Row],[_std_max]],"}")</f>
        <v>{'low': 70, 'high': 1330}</v>
      </c>
    </row>
    <row r="103" spans="1:21" x14ac:dyDescent="0.5">
      <c r="A103" s="1">
        <v>102</v>
      </c>
      <c r="B103" s="1">
        <f t="shared" si="69"/>
        <v>10</v>
      </c>
      <c r="C103" s="1" t="str">
        <f>_xlfn.CONCAT("err_{",Table14[[#This Row],[dm]], "}")</f>
        <v>err_{10}</v>
      </c>
      <c r="D103" s="1" t="str">
        <f>_xlfn.CONCAT("err_tas_", Table14[[#This Row],[dm]])</f>
        <v>err_tas_10</v>
      </c>
      <c r="E103" s="1" t="str">
        <f t="shared" si="51"/>
        <v>CUSTOM</v>
      </c>
      <c r="F103" s="1" t="str">
        <f>_xlfn.CONCAT("TAS ", Table14[[#This Row],[dm]], " error probability")</f>
        <v>TAS 10 error probability</v>
      </c>
      <c r="G103" s="1" t="str">
        <f>_xlfn.CONCAT("Service error probability for TAS ",Table14[[#This Row],[dm]])</f>
        <v>Service error probability for TAS 10</v>
      </c>
      <c r="H103" s="1" t="b">
        <f t="shared" si="65"/>
        <v>0</v>
      </c>
      <c r="I103" s="1" t="str">
        <f t="shared" si="65"/>
        <v>CTRL</v>
      </c>
      <c r="J103" s="1" t="str">
        <f t="shared" si="65"/>
        <v>E*T^-1</v>
      </c>
      <c r="K103" s="1" t="str">
        <f t="shared" si="65"/>
        <v>n.a.</v>
      </c>
      <c r="L103" s="3">
        <v>0</v>
      </c>
      <c r="M103" s="3">
        <v>0</v>
      </c>
      <c r="N103" s="3">
        <v>0</v>
      </c>
      <c r="O103" s="1" t="str">
        <f>Table14[[#This Row],[_units]]</f>
        <v>n.a.</v>
      </c>
      <c r="P103" s="1">
        <f>Table14[[#This Row],[_min]]</f>
        <v>0</v>
      </c>
      <c r="Q103" s="1">
        <f>Table14[[#This Row],[_max]]</f>
        <v>0</v>
      </c>
      <c r="R103" s="1">
        <f>Table14[[#This Row],[_mean]]</f>
        <v>0</v>
      </c>
      <c r="S103" s="1" t="str">
        <f t="shared" si="53"/>
        <v>adjusted_uniform</v>
      </c>
      <c r="T103" s="1" t="str">
        <f t="shared" si="0"/>
        <v>[]</v>
      </c>
      <c r="U103" s="1" t="str">
        <f>_xlfn.CONCAT("{'constant': ",Table14[[#This Row],[_std_max]],"}")</f>
        <v>{'constant': 0}</v>
      </c>
    </row>
    <row r="104" spans="1:21" x14ac:dyDescent="0.5">
      <c r="A104" s="1">
        <v>103</v>
      </c>
      <c r="B104" s="1">
        <f t="shared" si="69"/>
        <v>10</v>
      </c>
      <c r="C104" s="1" t="str">
        <f>_xlfn.CONCAT("\chi_{",Table14[[#This Row],[dm]], "}")</f>
        <v>\chi_{10}</v>
      </c>
      <c r="D104" s="1" t="str">
        <f>_xlfn.CONCAT("chi_tas_", Table14[[#This Row],[dm]])</f>
        <v>chi_tas_10</v>
      </c>
      <c r="E104" s="1" t="str">
        <f t="shared" si="51"/>
        <v>CUSTOM</v>
      </c>
      <c r="F104" s="1" t="str">
        <f>_xlfn.CONCAT("TAS ", Table14[[#This Row],[dm]], " departure rate")</f>
        <v>TAS 10 departure rate</v>
      </c>
      <c r="G104" s="1" t="str">
        <f>_xlfn.CONCAT("Departure rate for TAS ",Table14[[#This Row],[dm]])</f>
        <v>Departure rate for TAS 10</v>
      </c>
      <c r="H104" s="1" t="b">
        <f t="shared" si="65"/>
        <v>1</v>
      </c>
      <c r="I104" s="1" t="str">
        <f t="shared" si="65"/>
        <v>CTRL</v>
      </c>
      <c r="J104" s="1" t="str">
        <f t="shared" si="65"/>
        <v>E*T^-1</v>
      </c>
      <c r="K104" s="1" t="str">
        <f t="shared" si="65"/>
        <v>req/s</v>
      </c>
      <c r="L104" s="1">
        <f>0.1*258.75</f>
        <v>25.875</v>
      </c>
      <c r="M104" s="7">
        <f>1.9*258.75</f>
        <v>491.625</v>
      </c>
      <c r="N104" s="6">
        <f>AVERAGE(Table14[[#This Row],[_min]:[_max]])</f>
        <v>258.75</v>
      </c>
      <c r="O104" s="1" t="str">
        <f>Table14[[#This Row],[_units]]</f>
        <v>req/s</v>
      </c>
      <c r="P104" s="1">
        <f>Table14[[#This Row],[_min]]</f>
        <v>25.875</v>
      </c>
      <c r="Q104" s="1">
        <f>Table14[[#This Row],[_max]]</f>
        <v>491.625</v>
      </c>
      <c r="R104" s="1">
        <f>Table14[[#This Row],[_mean]]</f>
        <v>258.75</v>
      </c>
      <c r="S104" s="1" t="str">
        <f t="shared" si="53"/>
        <v>adjusted_rate</v>
      </c>
      <c r="T104" s="1" t="str">
        <f t="shared" ref="T104" si="73">_xlfn.CONCAT("['", C101, "' , '", C103, "']")</f>
        <v>['\lambda_{10}' , 'err_{10}']</v>
      </c>
      <c r="U104" s="1" t="str">
        <f t="shared" ref="U104" si="74">_xlfn.CONCAT("{", "}")</f>
        <v>{}</v>
      </c>
    </row>
    <row r="105" spans="1:21" x14ac:dyDescent="0.5">
      <c r="A105" s="1">
        <v>104</v>
      </c>
      <c r="B105" s="1">
        <f t="shared" si="69"/>
        <v>10</v>
      </c>
      <c r="C105" s="1" t="str">
        <f>_xlfn.CONCAT("c_{",Table14[[#This Row],[dm]], "}")</f>
        <v>c_{10}</v>
      </c>
      <c r="D105" s="1" t="str">
        <f>_xlfn.CONCAT("c_tas_", Table14[[#This Row],[dm]])</f>
        <v>c_tas_10</v>
      </c>
      <c r="E105" s="1" t="str">
        <f t="shared" si="51"/>
        <v>CUSTOM</v>
      </c>
      <c r="F105" s="1" t="str">
        <f>_xlfn.CONCAT("TAS ", Table14[[#This Row],[dm]], " resourses")</f>
        <v>TAS 10 resourses</v>
      </c>
      <c r="G105" s="1" t="str">
        <f>_xlfn.CONCAT("Number of resources allocated in TAS ",Table14[[#This Row],[dm]])</f>
        <v>Number of resources allocated in TAS 10</v>
      </c>
      <c r="H105" s="1" t="b">
        <f t="shared" si="65"/>
        <v>1</v>
      </c>
      <c r="I105" s="1" t="str">
        <f t="shared" si="65"/>
        <v>IN</v>
      </c>
      <c r="J105" s="1" t="str">
        <f t="shared" si="65"/>
        <v>E</v>
      </c>
      <c r="K105" s="1" t="str">
        <f t="shared" si="65"/>
        <v>req</v>
      </c>
      <c r="L105" s="1">
        <v>1</v>
      </c>
      <c r="M105" s="1">
        <f>Table14[[#This Row],[_min]]+2</f>
        <v>3</v>
      </c>
      <c r="N105" s="1">
        <f>AVERAGE(Table14[[#This Row],[_min]:[_max]])</f>
        <v>2</v>
      </c>
      <c r="O105" s="1" t="str">
        <f>Table14[[#This Row],[_units]]</f>
        <v>req</v>
      </c>
      <c r="P105" s="1">
        <f>Table14[[#This Row],[_min]]</f>
        <v>1</v>
      </c>
      <c r="Q105" s="1">
        <f>Table14[[#This Row],[_max]]</f>
        <v>3</v>
      </c>
      <c r="R105" s="1">
        <f>Table14[[#This Row],[_mean]]</f>
        <v>2</v>
      </c>
      <c r="S105" s="1" t="str">
        <f t="shared" si="53"/>
        <v>uniform_int</v>
      </c>
      <c r="T105" s="1" t="str">
        <f t="shared" si="0"/>
        <v>[]</v>
      </c>
      <c r="U105" s="1" t="str">
        <f>_xlfn.CONCAT("{'low': ", Table14[[#This Row],[_std_min]], ", 'high': ",Table14[[#This Row],[_std_max]],"}")</f>
        <v>{'low': 1, 'high': 3}</v>
      </c>
    </row>
    <row r="106" spans="1:21" x14ac:dyDescent="0.5">
      <c r="A106" s="1">
        <v>105</v>
      </c>
      <c r="B106" s="1">
        <f t="shared" si="69"/>
        <v>10</v>
      </c>
      <c r="C106" s="1" t="str">
        <f>_xlfn.CONCAT("K_{",Table14[[#This Row],[dm]],"}")</f>
        <v>K_{10}</v>
      </c>
      <c r="D106" s="1" t="str">
        <f>_xlfn.CONCAT("K_tas_", Table14[[#This Row],[dm]])</f>
        <v>K_tas_10</v>
      </c>
      <c r="E106" s="1" t="str">
        <f t="shared" si="51"/>
        <v>CUSTOM</v>
      </c>
      <c r="F106" s="1" t="str">
        <f>_xlfn.CONCAT("TAS ", Table14[[#This Row],[dm]], " q-capacity")</f>
        <v>TAS 10 q-capacity</v>
      </c>
      <c r="G106" s="1" t="str">
        <f>_xlfn.CONCAT("Allocated request capacity in TAS ",Table14[[#This Row],[dm]]," memory buffer")</f>
        <v>Allocated request capacity in TAS 10 memory buffer</v>
      </c>
      <c r="H106" s="1" t="b">
        <f t="shared" si="65"/>
        <v>1</v>
      </c>
      <c r="I106" s="1" t="str">
        <f t="shared" si="65"/>
        <v>CTRL</v>
      </c>
      <c r="J106" s="1" t="str">
        <f t="shared" si="65"/>
        <v>E</v>
      </c>
      <c r="K106" s="1" t="str">
        <f t="shared" si="65"/>
        <v>req</v>
      </c>
      <c r="L106" s="1">
        <v>1</v>
      </c>
      <c r="M106" s="1">
        <f>Table14[[#This Row],[_min]]+10</f>
        <v>11</v>
      </c>
      <c r="N106" s="1">
        <f>AVERAGE(Table14[[#This Row],[_min]:[_max]])</f>
        <v>6</v>
      </c>
      <c r="O106" s="1" t="str">
        <f>Table14[[#This Row],[_units]]</f>
        <v>req</v>
      </c>
      <c r="P106" s="1">
        <f>Table14[[#This Row],[_min]]</f>
        <v>1</v>
      </c>
      <c r="Q106" s="1">
        <f>Table14[[#This Row],[_max]]</f>
        <v>11</v>
      </c>
      <c r="R106" s="1">
        <f>Table14[[#This Row],[_mean]]</f>
        <v>6</v>
      </c>
      <c r="S106" s="1" t="str">
        <f t="shared" si="53"/>
        <v>shifted_uniform_int</v>
      </c>
      <c r="T106" s="1" t="str">
        <f t="shared" ref="T106" si="75">_xlfn.CONCAT("['", C105, "']")</f>
        <v>['c_{10}']</v>
      </c>
      <c r="U106" s="1" t="str">
        <f>_xlfn.CONCAT("{'low': ", Table14[[#This Row],[_std_min]], ", 'high': ",Table14[[#This Row],[_std_max]],"}")</f>
        <v>{'low': 1, 'high': 11}</v>
      </c>
    </row>
    <row r="107" spans="1:21" x14ac:dyDescent="0.5">
      <c r="A107" s="1">
        <v>106</v>
      </c>
      <c r="B107" s="1">
        <f t="shared" si="69"/>
        <v>10</v>
      </c>
      <c r="C107" s="1" t="str">
        <f>_xlfn.CONCAT("\delta_{", Table14[[#This Row],[dm]],"}")</f>
        <v>\delta_{10}</v>
      </c>
      <c r="D107" s="1" t="str">
        <f>_xlfn.CONCAT("delta_tas_", Table14[[#This Row],[dm]])</f>
        <v>delta_tas_10</v>
      </c>
      <c r="E107" s="1" t="str">
        <f t="shared" si="51"/>
        <v>CUSTOM</v>
      </c>
      <c r="F107" s="1" t="str">
        <f>_xlfn.CONCAT("TAS ", Table14[[#This Row],[dm]], " req data density")</f>
        <v>TAS 10 req data density</v>
      </c>
      <c r="G107" s="1" t="str">
        <f>_xlfn.CONCAT("Data density for request in TAS ", Table14[[#This Row],[dm]], " expected data per requests")</f>
        <v>Data density for request in TAS 10 expected data per requests</v>
      </c>
      <c r="H107" s="1" t="b">
        <f t="shared" si="65"/>
        <v>0</v>
      </c>
      <c r="I107" s="1" t="str">
        <f t="shared" si="65"/>
        <v>IN</v>
      </c>
      <c r="J107" s="1" t="str">
        <f t="shared" si="65"/>
        <v>D*E^-1</v>
      </c>
      <c r="K107" s="1" t="str">
        <f t="shared" si="65"/>
        <v>kB/req</v>
      </c>
      <c r="L107" s="1">
        <v>128</v>
      </c>
      <c r="M107" s="1">
        <f>2*1000</f>
        <v>2000</v>
      </c>
      <c r="N107" s="1">
        <f>AVERAGE(Table14[[#This Row],[_min]:[_max]])</f>
        <v>1064</v>
      </c>
      <c r="O107" s="1" t="s">
        <v>11</v>
      </c>
      <c r="P107" s="1">
        <f>Table14[[#This Row],[_min]]*1024000</f>
        <v>131072000</v>
      </c>
      <c r="Q107" s="1">
        <f>Table14[[#This Row],[_max]]*1024000</f>
        <v>2048000000</v>
      </c>
      <c r="R107" s="1">
        <f>Table14[[#This Row],[_mean]]*1024000</f>
        <v>1089536000</v>
      </c>
      <c r="S107" s="1" t="str">
        <f t="shared" si="53"/>
        <v>uniform</v>
      </c>
      <c r="T107" s="1" t="str">
        <f t="shared" si="0"/>
        <v>[]</v>
      </c>
      <c r="U107" s="1" t="str">
        <f>_xlfn.CONCAT("{'low': ", Table14[[#This Row],[_std_min]], ", 'high': ",Table14[[#This Row],[_std_max]],"}")</f>
        <v>{'low': 131072000, 'high': 2048000000}</v>
      </c>
    </row>
    <row r="108" spans="1:21" x14ac:dyDescent="0.5">
      <c r="A108" s="1">
        <v>107</v>
      </c>
      <c r="B108" s="1">
        <f t="shared" si="69"/>
        <v>10</v>
      </c>
      <c r="C108" s="1" t="str">
        <f>_xlfn.CONCAT("L_{",Table14[[#This Row],[dm]], "}")</f>
        <v>L_{10}</v>
      </c>
      <c r="D108" s="1" t="str">
        <f>_xlfn.CONCAT("L_tas_", Table14[[#This Row],[dm]])</f>
        <v>L_tas_10</v>
      </c>
      <c r="E108" s="1" t="str">
        <f t="shared" si="51"/>
        <v>CUSTOM</v>
      </c>
      <c r="F108" s="1" t="str">
        <f>_xlfn.CONCAT("TAS ", Table14[[#This Row],[dm]], " mean processing requests")</f>
        <v>TAS 10 mean processing requests</v>
      </c>
      <c r="G108" s="1" t="str">
        <f>_xlfn.CONCAT("Average number of request in TAS ",Table14[[#This Row],[dm]], " component")</f>
        <v>Average number of request in TAS 10 component</v>
      </c>
      <c r="H108" s="1" t="b">
        <f t="shared" si="65"/>
        <v>1</v>
      </c>
      <c r="I108" s="1" t="str">
        <f t="shared" si="65"/>
        <v>CTRL</v>
      </c>
      <c r="J108" s="1" t="str">
        <f t="shared" si="65"/>
        <v>E</v>
      </c>
      <c r="K108" s="1" t="str">
        <f t="shared" si="65"/>
        <v>req</v>
      </c>
      <c r="L108" s="1">
        <v>1</v>
      </c>
      <c r="M108" s="1">
        <f>Table14[[#This Row],[_min]]+10</f>
        <v>11</v>
      </c>
      <c r="N108" s="1">
        <f>AVERAGE(Table14[[#This Row],[_min]:[_max]])</f>
        <v>6</v>
      </c>
      <c r="O108" s="1" t="str">
        <f>Table14[[#This Row],[_units]]</f>
        <v>req</v>
      </c>
      <c r="P108" s="1">
        <f>Table14[[#This Row],[_min]]</f>
        <v>1</v>
      </c>
      <c r="Q108" s="1">
        <f>Table14[[#This Row],[_max]]</f>
        <v>11</v>
      </c>
      <c r="R108" s="1">
        <f>Table14[[#This Row],[_mean]]</f>
        <v>6</v>
      </c>
      <c r="S108" s="1" t="str">
        <f t="shared" si="53"/>
        <v>queue_length</v>
      </c>
      <c r="T108" s="1" t="str">
        <f t="shared" ref="T108" si="76">_xlfn.CONCAT("['", C101, "' , '", C102, "' , '", C105, "' , '", C106, "']")</f>
        <v>['\lambda_{10}' , '\mu_{10}' , 'c_{10}' , 'K_{10}']</v>
      </c>
      <c r="U108" s="1" t="str">
        <f t="shared" ref="U108:U111" si="77">_xlfn.CONCAT("{", "}")</f>
        <v>{}</v>
      </c>
    </row>
    <row r="109" spans="1:21" x14ac:dyDescent="0.5">
      <c r="A109" s="1">
        <v>108</v>
      </c>
      <c r="B109" s="1">
        <f t="shared" si="69"/>
        <v>10</v>
      </c>
      <c r="C109" s="1" t="str">
        <f>_xlfn.CONCAT("Lq_{",Table14[[#This Row],[dm]], "}")</f>
        <v>Lq_{10}</v>
      </c>
      <c r="D109" s="1" t="str">
        <f>_xlfn.CONCAT("Lq_tas_", Table14[[#This Row],[dm]])</f>
        <v>Lq_tas_10</v>
      </c>
      <c r="E109" s="1" t="str">
        <f t="shared" si="51"/>
        <v>CUSTOM</v>
      </c>
      <c r="F109" s="1" t="str">
        <f>_xlfn.CONCAT("TAS ", Table14[[#This Row],[dm]], " mean in memory requests")</f>
        <v>TAS 10 mean in memory requests</v>
      </c>
      <c r="G109" s="1" t="str">
        <f>_xlfn.CONCAT("Average number of request in TAS ",Table14[[#This Row],[dm]], " memory")</f>
        <v>Average number of request in TAS 10 memory</v>
      </c>
      <c r="H109" s="1" t="b">
        <f t="shared" si="65"/>
        <v>0</v>
      </c>
      <c r="I109" s="1" t="str">
        <f t="shared" si="65"/>
        <v>CTRL</v>
      </c>
      <c r="J109" s="1" t="str">
        <f t="shared" si="65"/>
        <v>E</v>
      </c>
      <c r="K109" s="1" t="str">
        <f t="shared" si="65"/>
        <v>req</v>
      </c>
      <c r="L109" s="1">
        <v>1</v>
      </c>
      <c r="M109" s="1">
        <f>Table14[[#This Row],[_min]]+10</f>
        <v>11</v>
      </c>
      <c r="N109" s="1">
        <f>AVERAGE(Table14[[#This Row],[_min]:[_max]])</f>
        <v>6</v>
      </c>
      <c r="O109" s="1" t="str">
        <f>Table14[[#This Row],[_units]]</f>
        <v>req</v>
      </c>
      <c r="P109" s="1">
        <f>Table14[[#This Row],[_min]]</f>
        <v>1</v>
      </c>
      <c r="Q109" s="1">
        <f>Table14[[#This Row],[_max]]</f>
        <v>11</v>
      </c>
      <c r="R109" s="1">
        <f>Table14[[#This Row],[_mean]]</f>
        <v>6</v>
      </c>
      <c r="S109" s="1" t="str">
        <f t="shared" si="53"/>
        <v>queue_length</v>
      </c>
      <c r="T109" s="1" t="str">
        <f t="shared" ref="T109" si="78">_xlfn.CONCAT("['", C101, "' , '", C102, "' , '", C105, "' , '", C106, "']")</f>
        <v>['\lambda_{10}' , '\mu_{10}' , 'c_{10}' , 'K_{10}']</v>
      </c>
      <c r="U109" s="1" t="str">
        <f t="shared" si="77"/>
        <v>{}</v>
      </c>
    </row>
    <row r="110" spans="1:21" x14ac:dyDescent="0.5">
      <c r="A110" s="1">
        <v>109</v>
      </c>
      <c r="B110" s="1">
        <f t="shared" si="69"/>
        <v>10</v>
      </c>
      <c r="C110" s="1" t="str">
        <f>_xlfn.CONCAT("W_{",Table14[[#This Row],[dm]], "}")</f>
        <v>W_{10}</v>
      </c>
      <c r="D110" s="1" t="str">
        <f>_xlfn.CONCAT("W_tas_", Table14[[#This Row],[dm]])</f>
        <v>W_tas_10</v>
      </c>
      <c r="E110" s="1" t="str">
        <f t="shared" si="51"/>
        <v>CUSTOM</v>
      </c>
      <c r="F110" s="1" t="str">
        <f>_xlfn.CONCAT("TAS ", Table14[[#This Row],[dm]], " mean time to answer")</f>
        <v>TAS 10 mean time to answer</v>
      </c>
      <c r="G110" s="1" t="str">
        <f>_xlfn.CONCAT("Average time to complete a request in TAS ",Table14[[#This Row],[dm]])</f>
        <v>Average time to complete a request in TAS 10</v>
      </c>
      <c r="H110" s="1" t="b">
        <f t="shared" ref="H110:K125" si="79">H99</f>
        <v>1</v>
      </c>
      <c r="I110" s="1" t="str">
        <f t="shared" si="79"/>
        <v>OUT</v>
      </c>
      <c r="J110" s="1" t="str">
        <f t="shared" si="79"/>
        <v>T</v>
      </c>
      <c r="K110" s="1" t="str">
        <f t="shared" si="79"/>
        <v>s</v>
      </c>
      <c r="L110" s="1">
        <v>0</v>
      </c>
      <c r="M110" s="8">
        <v>2.2530768580843199E-3</v>
      </c>
      <c r="N110" s="8">
        <v>2.2530768580843199E-3</v>
      </c>
      <c r="O110" s="1" t="str">
        <f>Table14[[#This Row],[_units]]</f>
        <v>s</v>
      </c>
      <c r="P110" s="1">
        <f>Table14[[#This Row],[_min]]</f>
        <v>0</v>
      </c>
      <c r="Q110" s="1">
        <f>Table14[[#This Row],[_max]]</f>
        <v>2.2530768580843199E-3</v>
      </c>
      <c r="R110" s="1">
        <f>Table14[[#This Row],[_mean]]</f>
        <v>2.2530768580843199E-3</v>
      </c>
      <c r="S110" s="1" t="str">
        <f t="shared" si="53"/>
        <v>queue_time</v>
      </c>
      <c r="T110" s="1" t="str">
        <f t="shared" ref="T110" si="80">_xlfn.CONCAT("['", C104, "' , '", C108, "']")</f>
        <v>['\chi_{10}' , 'L_{10}']</v>
      </c>
      <c r="U110" s="1" t="str">
        <f t="shared" si="77"/>
        <v>{}</v>
      </c>
    </row>
    <row r="111" spans="1:21" x14ac:dyDescent="0.5">
      <c r="A111" s="1">
        <v>110</v>
      </c>
      <c r="B111" s="1">
        <f t="shared" si="69"/>
        <v>10</v>
      </c>
      <c r="C111" s="1" t="str">
        <f>_xlfn.CONCAT("Wq_{",Table14[[#This Row],[dm]], "}")</f>
        <v>Wq_{10}</v>
      </c>
      <c r="D111" s="1" t="str">
        <f>_xlfn.CONCAT("Wq_tas_", Table14[[#This Row],[dm]])</f>
        <v>Wq_tas_10</v>
      </c>
      <c r="E111" s="1" t="str">
        <f t="shared" si="51"/>
        <v>CUSTOM</v>
      </c>
      <c r="F111" s="1" t="str">
        <f>_xlfn.CONCAT("TAS ", Table14[[#This Row],[dm]], " mean time in buffer")</f>
        <v>TAS 10 mean time in buffer</v>
      </c>
      <c r="G111" s="1" t="str">
        <f>_xlfn.CONCAT("Average time for a request to transit the buffer in TAS ",Table14[[#This Row],[dm]])</f>
        <v>Average time for a request to transit the buffer in TAS 10</v>
      </c>
      <c r="H111" s="1" t="b">
        <f t="shared" si="79"/>
        <v>0</v>
      </c>
      <c r="I111" s="1" t="str">
        <f t="shared" si="79"/>
        <v>CTRL</v>
      </c>
      <c r="J111" s="1" t="str">
        <f t="shared" si="79"/>
        <v>T</v>
      </c>
      <c r="K111" s="1" t="str">
        <f t="shared" si="79"/>
        <v>s</v>
      </c>
      <c r="L111" s="1">
        <v>0</v>
      </c>
      <c r="M111" s="8">
        <v>8.2450542951289195E-4</v>
      </c>
      <c r="N111" s="8">
        <v>8.2450542951289195E-4</v>
      </c>
      <c r="O111" s="1" t="str">
        <f>Table14[[#This Row],[_units]]</f>
        <v>s</v>
      </c>
      <c r="P111" s="1">
        <f>Table14[[#This Row],[_min]]</f>
        <v>0</v>
      </c>
      <c r="Q111" s="1">
        <f>Table14[[#This Row],[_max]]</f>
        <v>8.2450542951289195E-4</v>
      </c>
      <c r="R111" s="1">
        <f>Table14[[#This Row],[_mean]]</f>
        <v>8.2450542951289195E-4</v>
      </c>
      <c r="S111" s="1" t="str">
        <f t="shared" si="53"/>
        <v>queue_time</v>
      </c>
      <c r="T111" s="1" t="str">
        <f t="shared" ref="T111" si="81">_xlfn.CONCAT("['", C104, "' , '", C109, "']")</f>
        <v>['\chi_{10}' , 'Lq_{10}']</v>
      </c>
      <c r="U111" s="1" t="str">
        <f t="shared" si="77"/>
        <v>{}</v>
      </c>
    </row>
    <row r="112" spans="1:21" x14ac:dyDescent="0.5">
      <c r="A112" s="1">
        <v>111</v>
      </c>
      <c r="B112" s="1">
        <f t="shared" si="69"/>
        <v>11</v>
      </c>
      <c r="C112" s="1" t="str">
        <f>_xlfn.CONCAT("\lambda_{", Table14[[#This Row],[dm]],"}")</f>
        <v>\lambda_{11}</v>
      </c>
      <c r="D112" s="1" t="str">
        <f>_xlfn.CONCAT("lambda_tas_", Table14[[#This Row],[dm]])</f>
        <v>lambda_tas_11</v>
      </c>
      <c r="E112" s="1" t="str">
        <f t="shared" si="51"/>
        <v>CUSTOM</v>
      </c>
      <c r="F112" s="1" t="str">
        <f>_xlfn.CONCAT("TAS ", Table14[[#This Row],[dm]], " arrival rate")</f>
        <v>TAS 11 arrival rate</v>
      </c>
      <c r="G112" s="1" t="str">
        <f>_xlfn.CONCAT("Arrival rate for TAS ",Table14[[#This Row],[dm]])</f>
        <v>Arrival rate for TAS 11</v>
      </c>
      <c r="H112" s="1" t="b">
        <f t="shared" si="79"/>
        <v>1</v>
      </c>
      <c r="I112" s="1" t="str">
        <f t="shared" si="79"/>
        <v>IN</v>
      </c>
      <c r="J112" s="1" t="str">
        <f t="shared" si="79"/>
        <v>E*T^-1</v>
      </c>
      <c r="K112" s="1" t="str">
        <f t="shared" si="79"/>
        <v>req/s</v>
      </c>
      <c r="L112" s="1">
        <f>0.1*172.5</f>
        <v>17.25</v>
      </c>
      <c r="M112" s="7">
        <f>1.9*172.5</f>
        <v>327.75</v>
      </c>
      <c r="N112" s="8">
        <f>AVERAGE(Table14[[#This Row],[_min]:[_max]])</f>
        <v>172.5</v>
      </c>
      <c r="O112" s="1" t="str">
        <f>Table14[[#This Row],[_units]]</f>
        <v>req/s</v>
      </c>
      <c r="P112" s="1">
        <f>Table14[[#This Row],[_min]]</f>
        <v>17.25</v>
      </c>
      <c r="Q112" s="1">
        <f>Table14[[#This Row],[_max]]</f>
        <v>327.75</v>
      </c>
      <c r="R112" s="1">
        <f>Table14[[#This Row],[_mean]]</f>
        <v>172.5</v>
      </c>
      <c r="S112" s="1" t="str">
        <f t="shared" si="53"/>
        <v>uniform</v>
      </c>
      <c r="T112" s="1" t="str">
        <f t="shared" si="0"/>
        <v>[]</v>
      </c>
      <c r="U112" s="1" t="str">
        <f>_xlfn.CONCAT("{'low': ", Table14[[#This Row],[_std_min]], ", 'high': ",Table14[[#This Row],[_std_max]],"}")</f>
        <v>{'low': 17.25, 'high': 327.75}</v>
      </c>
    </row>
    <row r="113" spans="1:21" x14ac:dyDescent="0.5">
      <c r="A113" s="1">
        <v>112</v>
      </c>
      <c r="B113" s="1">
        <f t="shared" si="69"/>
        <v>11</v>
      </c>
      <c r="C113" s="1" t="str">
        <f>_xlfn.CONCAT("\mu_{",Table14[[#This Row],[dm]], "}")</f>
        <v>\mu_{11}</v>
      </c>
      <c r="D113" s="1" t="str">
        <f>_xlfn.CONCAT("mu_tas_", Table14[[#This Row],[dm]])</f>
        <v>mu_tas_11</v>
      </c>
      <c r="E113" s="1" t="str">
        <f t="shared" si="51"/>
        <v>CUSTOM</v>
      </c>
      <c r="F113" s="1" t="str">
        <f>_xlfn.CONCAT("TAS ", Table14[[#This Row],[dm]], " service rate")</f>
        <v>TAS 11 service rate</v>
      </c>
      <c r="G113" s="1" t="str">
        <f>_xlfn.CONCAT("Service rate for TAS ",Table14[[#This Row],[dm]])</f>
        <v>Service rate for TAS 11</v>
      </c>
      <c r="H113" s="1" t="b">
        <f t="shared" si="79"/>
        <v>1</v>
      </c>
      <c r="I113" s="1" t="str">
        <f t="shared" si="79"/>
        <v>CTRL</v>
      </c>
      <c r="J113" s="1" t="str">
        <f t="shared" si="79"/>
        <v>E*T^-1</v>
      </c>
      <c r="K113" s="1" t="str">
        <f t="shared" si="79"/>
        <v>req/s</v>
      </c>
      <c r="L113" s="1">
        <f>0.1*250</f>
        <v>25</v>
      </c>
      <c r="M113" s="5">
        <f>1.9*250</f>
        <v>475</v>
      </c>
      <c r="N113" s="4">
        <f>AVERAGE(Table14[[#This Row],[_min]:[_max]])</f>
        <v>250</v>
      </c>
      <c r="O113" s="1" t="str">
        <f>Table14[[#This Row],[_units]]</f>
        <v>req/s</v>
      </c>
      <c r="P113" s="1">
        <f>Table14[[#This Row],[_min]]</f>
        <v>25</v>
      </c>
      <c r="Q113" s="1">
        <f>Table14[[#This Row],[_max]]</f>
        <v>475</v>
      </c>
      <c r="R113" s="1">
        <f>Table14[[#This Row],[_mean]]</f>
        <v>250</v>
      </c>
      <c r="S113" s="1" t="str">
        <f t="shared" si="53"/>
        <v>uniform</v>
      </c>
      <c r="T113" s="1" t="str">
        <f t="shared" si="0"/>
        <v>[]</v>
      </c>
      <c r="U113" s="1" t="str">
        <f>_xlfn.CONCAT("{'low': ", Table14[[#This Row],[_std_min]], ", 'high': ",Table14[[#This Row],[_std_max]],"}")</f>
        <v>{'low': 25, 'high': 475}</v>
      </c>
    </row>
    <row r="114" spans="1:21" x14ac:dyDescent="0.5">
      <c r="A114" s="1">
        <v>113</v>
      </c>
      <c r="B114" s="1">
        <f t="shared" si="69"/>
        <v>11</v>
      </c>
      <c r="C114" s="1" t="str">
        <f>_xlfn.CONCAT("err_{",Table14[[#This Row],[dm]], "}")</f>
        <v>err_{11}</v>
      </c>
      <c r="D114" s="1" t="str">
        <f>_xlfn.CONCAT("err_tas_", Table14[[#This Row],[dm]])</f>
        <v>err_tas_11</v>
      </c>
      <c r="E114" s="1" t="str">
        <f t="shared" si="51"/>
        <v>CUSTOM</v>
      </c>
      <c r="F114" s="1" t="str">
        <f>_xlfn.CONCAT("TAS ", Table14[[#This Row],[dm]], " error probability")</f>
        <v>TAS 11 error probability</v>
      </c>
      <c r="G114" s="1" t="str">
        <f>_xlfn.CONCAT("Service error probability for TAS ",Table14[[#This Row],[dm]])</f>
        <v>Service error probability for TAS 11</v>
      </c>
      <c r="H114" s="1" t="b">
        <f t="shared" si="79"/>
        <v>0</v>
      </c>
      <c r="I114" s="1" t="str">
        <f t="shared" si="79"/>
        <v>CTRL</v>
      </c>
      <c r="J114" s="1" t="str">
        <f t="shared" si="79"/>
        <v>E*T^-1</v>
      </c>
      <c r="K114" s="1" t="str">
        <f t="shared" si="79"/>
        <v>n.a.</v>
      </c>
      <c r="L114" s="3">
        <v>0.01</v>
      </c>
      <c r="M114" s="3">
        <v>0.01</v>
      </c>
      <c r="N114" s="3">
        <v>0.01</v>
      </c>
      <c r="O114" s="1" t="str">
        <f>Table14[[#This Row],[_units]]</f>
        <v>n.a.</v>
      </c>
      <c r="P114" s="1">
        <f>Table14[[#This Row],[_min]]</f>
        <v>0.01</v>
      </c>
      <c r="Q114" s="1">
        <f>Table14[[#This Row],[_max]]</f>
        <v>0.01</v>
      </c>
      <c r="R114" s="1">
        <f>Table14[[#This Row],[_mean]]</f>
        <v>0.01</v>
      </c>
      <c r="S114" s="1" t="str">
        <f t="shared" si="53"/>
        <v>adjusted_uniform</v>
      </c>
      <c r="T114" s="1" t="str">
        <f t="shared" si="0"/>
        <v>[]</v>
      </c>
      <c r="U114" s="1" t="str">
        <f>_xlfn.CONCAT("{'constant': ",Table14[[#This Row],[_std_max]],"}")</f>
        <v>{'constant': 0.01}</v>
      </c>
    </row>
    <row r="115" spans="1:21" x14ac:dyDescent="0.5">
      <c r="A115" s="1">
        <v>114</v>
      </c>
      <c r="B115" s="1">
        <f t="shared" si="69"/>
        <v>11</v>
      </c>
      <c r="C115" s="1" t="str">
        <f>_xlfn.CONCAT("\chi_{",Table14[[#This Row],[dm]], "}")</f>
        <v>\chi_{11}</v>
      </c>
      <c r="D115" s="1" t="str">
        <f>_xlfn.CONCAT("chi_tas_", Table14[[#This Row],[dm]])</f>
        <v>chi_tas_11</v>
      </c>
      <c r="E115" s="1" t="str">
        <f t="shared" si="51"/>
        <v>CUSTOM</v>
      </c>
      <c r="F115" s="1" t="str">
        <f>_xlfn.CONCAT("TAS ", Table14[[#This Row],[dm]], " departure rate")</f>
        <v>TAS 11 departure rate</v>
      </c>
      <c r="G115" s="1" t="str">
        <f>_xlfn.CONCAT("Departure rate for TAS ",Table14[[#This Row],[dm]])</f>
        <v>Departure rate for TAS 11</v>
      </c>
      <c r="H115" s="1" t="b">
        <f t="shared" si="79"/>
        <v>1</v>
      </c>
      <c r="I115" s="1" t="str">
        <f t="shared" si="79"/>
        <v>CTRL</v>
      </c>
      <c r="J115" s="1" t="str">
        <f t="shared" si="79"/>
        <v>E*T^-1</v>
      </c>
      <c r="K115" s="1" t="str">
        <f t="shared" si="79"/>
        <v>req/s</v>
      </c>
      <c r="L115" s="1">
        <f>0.1*172.5</f>
        <v>17.25</v>
      </c>
      <c r="M115" s="7">
        <f>1.9*172.5</f>
        <v>327.75</v>
      </c>
      <c r="N115" s="6">
        <f>AVERAGE(Table14[[#This Row],[_min]:[_max]])</f>
        <v>172.5</v>
      </c>
      <c r="O115" s="1" t="str">
        <f>Table14[[#This Row],[_units]]</f>
        <v>req/s</v>
      </c>
      <c r="P115" s="1">
        <f>Table14[[#This Row],[_min]]</f>
        <v>17.25</v>
      </c>
      <c r="Q115" s="1">
        <f>Table14[[#This Row],[_max]]</f>
        <v>327.75</v>
      </c>
      <c r="R115" s="1">
        <f>Table14[[#This Row],[_mean]]</f>
        <v>172.5</v>
      </c>
      <c r="S115" s="1" t="str">
        <f t="shared" si="53"/>
        <v>adjusted_rate</v>
      </c>
      <c r="T115" s="1" t="str">
        <f t="shared" ref="T115" si="82">_xlfn.CONCAT("['", C112, "' , '", C114, "']")</f>
        <v>['\lambda_{11}' , 'err_{11}']</v>
      </c>
      <c r="U115" s="1" t="str">
        <f t="shared" ref="U115" si="83">_xlfn.CONCAT("{", "}")</f>
        <v>{}</v>
      </c>
    </row>
    <row r="116" spans="1:21" x14ac:dyDescent="0.5">
      <c r="A116" s="1">
        <v>115</v>
      </c>
      <c r="B116" s="1">
        <f>B105+1</f>
        <v>11</v>
      </c>
      <c r="C116" s="1" t="str">
        <f>_xlfn.CONCAT("c_{",Table14[[#This Row],[dm]], "}")</f>
        <v>c_{11}</v>
      </c>
      <c r="D116" s="1" t="str">
        <f>_xlfn.CONCAT("c_tas_", Table14[[#This Row],[dm]])</f>
        <v>c_tas_11</v>
      </c>
      <c r="E116" s="1" t="str">
        <f t="shared" si="51"/>
        <v>CUSTOM</v>
      </c>
      <c r="F116" s="1" t="str">
        <f>_xlfn.CONCAT("TAS ", Table14[[#This Row],[dm]], " resourses")</f>
        <v>TAS 11 resourses</v>
      </c>
      <c r="G116" s="1" t="str">
        <f>_xlfn.CONCAT("Number of resources allocated in TAS ",Table14[[#This Row],[dm]])</f>
        <v>Number of resources allocated in TAS 11</v>
      </c>
      <c r="H116" s="1" t="b">
        <f t="shared" si="79"/>
        <v>1</v>
      </c>
      <c r="I116" s="1" t="str">
        <f t="shared" si="79"/>
        <v>IN</v>
      </c>
      <c r="J116" s="1" t="str">
        <f t="shared" si="79"/>
        <v>E</v>
      </c>
      <c r="K116" s="1" t="str">
        <f t="shared" si="79"/>
        <v>req</v>
      </c>
      <c r="L116" s="1">
        <v>1</v>
      </c>
      <c r="M116" s="1">
        <f>Table14[[#This Row],[_min]]+2</f>
        <v>3</v>
      </c>
      <c r="N116" s="1">
        <f>AVERAGE(Table14[[#This Row],[_min]:[_max]])</f>
        <v>2</v>
      </c>
      <c r="O116" s="1" t="str">
        <f>Table14[[#This Row],[_units]]</f>
        <v>req</v>
      </c>
      <c r="P116" s="1">
        <f>Table14[[#This Row],[_min]]</f>
        <v>1</v>
      </c>
      <c r="Q116" s="1">
        <f>Table14[[#This Row],[_max]]</f>
        <v>3</v>
      </c>
      <c r="R116" s="1">
        <f>Table14[[#This Row],[_mean]]</f>
        <v>2</v>
      </c>
      <c r="S116" s="1" t="str">
        <f t="shared" si="53"/>
        <v>uniform_int</v>
      </c>
      <c r="T116" s="1" t="str">
        <f t="shared" si="0"/>
        <v>[]</v>
      </c>
      <c r="U116" s="1" t="str">
        <f>_xlfn.CONCAT("{'low': ", Table14[[#This Row],[_std_min]], ", 'high': ",Table14[[#This Row],[_std_max]],"}")</f>
        <v>{'low': 1, 'high': 3}</v>
      </c>
    </row>
    <row r="117" spans="1:21" x14ac:dyDescent="0.5">
      <c r="A117" s="1">
        <v>116</v>
      </c>
      <c r="B117" s="1">
        <f t="shared" ref="B117:B144" si="84">B106+1</f>
        <v>11</v>
      </c>
      <c r="C117" s="1" t="str">
        <f>_xlfn.CONCAT("K_{",Table14[[#This Row],[dm]],"}")</f>
        <v>K_{11}</v>
      </c>
      <c r="D117" s="1" t="str">
        <f>_xlfn.CONCAT("K_tas_", Table14[[#This Row],[dm]])</f>
        <v>K_tas_11</v>
      </c>
      <c r="E117" s="1" t="str">
        <f t="shared" si="51"/>
        <v>CUSTOM</v>
      </c>
      <c r="F117" s="1" t="str">
        <f>_xlfn.CONCAT("TAS ", Table14[[#This Row],[dm]], " q-capacity")</f>
        <v>TAS 11 q-capacity</v>
      </c>
      <c r="G117" s="1" t="str">
        <f>_xlfn.CONCAT("Allocated request capacity in TAS ",Table14[[#This Row],[dm]]," memory buffer")</f>
        <v>Allocated request capacity in TAS 11 memory buffer</v>
      </c>
      <c r="H117" s="1" t="b">
        <f t="shared" si="79"/>
        <v>1</v>
      </c>
      <c r="I117" s="1" t="str">
        <f t="shared" si="79"/>
        <v>CTRL</v>
      </c>
      <c r="J117" s="1" t="str">
        <f t="shared" si="79"/>
        <v>E</v>
      </c>
      <c r="K117" s="1" t="str">
        <f t="shared" si="79"/>
        <v>req</v>
      </c>
      <c r="L117" s="1">
        <v>1</v>
      </c>
      <c r="M117" s="1">
        <f>Table14[[#This Row],[_min]]+10</f>
        <v>11</v>
      </c>
      <c r="N117" s="1">
        <f>AVERAGE(Table14[[#This Row],[_min]:[_max]])</f>
        <v>6</v>
      </c>
      <c r="O117" s="1" t="str">
        <f>Table14[[#This Row],[_units]]</f>
        <v>req</v>
      </c>
      <c r="P117" s="1">
        <f>Table14[[#This Row],[_min]]</f>
        <v>1</v>
      </c>
      <c r="Q117" s="1">
        <f>Table14[[#This Row],[_max]]</f>
        <v>11</v>
      </c>
      <c r="R117" s="1">
        <f>Table14[[#This Row],[_mean]]</f>
        <v>6</v>
      </c>
      <c r="S117" s="1" t="str">
        <f t="shared" si="53"/>
        <v>shifted_uniform_int</v>
      </c>
      <c r="T117" s="1" t="str">
        <f t="shared" ref="T117" si="85">_xlfn.CONCAT("['", C116, "']")</f>
        <v>['c_{11}']</v>
      </c>
      <c r="U117" s="1" t="str">
        <f>_xlfn.CONCAT("{'low': ", Table14[[#This Row],[_std_min]], ", 'high': ",Table14[[#This Row],[_std_max]],"}")</f>
        <v>{'low': 1, 'high': 11}</v>
      </c>
    </row>
    <row r="118" spans="1:21" x14ac:dyDescent="0.5">
      <c r="A118" s="1">
        <v>117</v>
      </c>
      <c r="B118" s="1">
        <f t="shared" si="84"/>
        <v>11</v>
      </c>
      <c r="C118" s="1" t="str">
        <f>_xlfn.CONCAT("\delta_{", Table14[[#This Row],[dm]],"}")</f>
        <v>\delta_{11}</v>
      </c>
      <c r="D118" s="1" t="str">
        <f>_xlfn.CONCAT("delta_tas_", Table14[[#This Row],[dm]])</f>
        <v>delta_tas_11</v>
      </c>
      <c r="E118" s="1" t="str">
        <f t="shared" si="51"/>
        <v>CUSTOM</v>
      </c>
      <c r="F118" s="1" t="str">
        <f>_xlfn.CONCAT("TAS ", Table14[[#This Row],[dm]], " req data density")</f>
        <v>TAS 11 req data density</v>
      </c>
      <c r="G118" s="1" t="str">
        <f>_xlfn.CONCAT("Data density for request in TAS ", Table14[[#This Row],[dm]], " expected data per requests")</f>
        <v>Data density for request in TAS 11 expected data per requests</v>
      </c>
      <c r="H118" s="1" t="b">
        <f t="shared" si="79"/>
        <v>0</v>
      </c>
      <c r="I118" s="1" t="str">
        <f t="shared" si="79"/>
        <v>IN</v>
      </c>
      <c r="J118" s="1" t="str">
        <f t="shared" si="79"/>
        <v>D*E^-1</v>
      </c>
      <c r="K118" s="1" t="str">
        <f t="shared" si="79"/>
        <v>kB/req</v>
      </c>
      <c r="L118" s="1">
        <v>128</v>
      </c>
      <c r="M118" s="1">
        <f>2*1000</f>
        <v>2000</v>
      </c>
      <c r="N118" s="1">
        <f>AVERAGE(Table14[[#This Row],[_min]:[_max]])</f>
        <v>1064</v>
      </c>
      <c r="O118" s="1" t="s">
        <v>11</v>
      </c>
      <c r="P118" s="1">
        <f>Table14[[#This Row],[_min]]*1024000</f>
        <v>131072000</v>
      </c>
      <c r="Q118" s="1">
        <f>Table14[[#This Row],[_max]]*1024000</f>
        <v>2048000000</v>
      </c>
      <c r="R118" s="1">
        <f>Table14[[#This Row],[_mean]]*1024000</f>
        <v>1089536000</v>
      </c>
      <c r="S118" s="1" t="str">
        <f t="shared" si="53"/>
        <v>uniform</v>
      </c>
      <c r="T118" s="1" t="str">
        <f t="shared" si="0"/>
        <v>[]</v>
      </c>
      <c r="U118" s="1" t="str">
        <f>_xlfn.CONCAT("{'low': ", Table14[[#This Row],[_std_min]], ", 'high': ",Table14[[#This Row],[_std_max]],"}")</f>
        <v>{'low': 131072000, 'high': 2048000000}</v>
      </c>
    </row>
    <row r="119" spans="1:21" x14ac:dyDescent="0.5">
      <c r="A119" s="1">
        <v>118</v>
      </c>
      <c r="B119" s="1">
        <f t="shared" si="84"/>
        <v>11</v>
      </c>
      <c r="C119" s="1" t="str">
        <f>_xlfn.CONCAT("L_{",Table14[[#This Row],[dm]], "}")</f>
        <v>L_{11}</v>
      </c>
      <c r="D119" s="1" t="str">
        <f>_xlfn.CONCAT("L_tas_", Table14[[#This Row],[dm]])</f>
        <v>L_tas_11</v>
      </c>
      <c r="E119" s="1" t="str">
        <f t="shared" si="51"/>
        <v>CUSTOM</v>
      </c>
      <c r="F119" s="1" t="str">
        <f>_xlfn.CONCAT("TAS ", Table14[[#This Row],[dm]], " mean processing requests")</f>
        <v>TAS 11 mean processing requests</v>
      </c>
      <c r="G119" s="1" t="str">
        <f>_xlfn.CONCAT("Average number of request in TAS ",Table14[[#This Row],[dm]], " component")</f>
        <v>Average number of request in TAS 11 component</v>
      </c>
      <c r="H119" s="1" t="b">
        <f t="shared" si="79"/>
        <v>1</v>
      </c>
      <c r="I119" s="1" t="str">
        <f t="shared" si="79"/>
        <v>CTRL</v>
      </c>
      <c r="J119" s="1" t="str">
        <f t="shared" si="79"/>
        <v>E</v>
      </c>
      <c r="K119" s="1" t="str">
        <f t="shared" si="79"/>
        <v>req</v>
      </c>
      <c r="L119" s="1">
        <v>1</v>
      </c>
      <c r="M119" s="1">
        <f>Table14[[#This Row],[_min]]+10</f>
        <v>11</v>
      </c>
      <c r="N119" s="1">
        <f>AVERAGE(Table14[[#This Row],[_min]:[_max]])</f>
        <v>6</v>
      </c>
      <c r="O119" s="1" t="str">
        <f>Table14[[#This Row],[_units]]</f>
        <v>req</v>
      </c>
      <c r="P119" s="1">
        <f>Table14[[#This Row],[_min]]</f>
        <v>1</v>
      </c>
      <c r="Q119" s="1">
        <f>Table14[[#This Row],[_max]]</f>
        <v>11</v>
      </c>
      <c r="R119" s="1">
        <f>Table14[[#This Row],[_mean]]</f>
        <v>6</v>
      </c>
      <c r="S119" s="1" t="str">
        <f t="shared" si="53"/>
        <v>queue_length</v>
      </c>
      <c r="T119" s="1" t="str">
        <f t="shared" ref="T119" si="86">_xlfn.CONCAT("['", C112, "' , '", C113, "' , '", C116, "' , '", C117, "']")</f>
        <v>['\lambda_{11}' , '\mu_{11}' , 'c_{11}' , 'K_{11}']</v>
      </c>
      <c r="U119" s="1" t="str">
        <f t="shared" ref="U119:U122" si="87">_xlfn.CONCAT("{", "}")</f>
        <v>{}</v>
      </c>
    </row>
    <row r="120" spans="1:21" x14ac:dyDescent="0.5">
      <c r="A120" s="1">
        <v>119</v>
      </c>
      <c r="B120" s="1">
        <f t="shared" si="84"/>
        <v>11</v>
      </c>
      <c r="C120" s="1" t="str">
        <f>_xlfn.CONCAT("Lq_{",Table14[[#This Row],[dm]], "}")</f>
        <v>Lq_{11}</v>
      </c>
      <c r="D120" s="1" t="str">
        <f>_xlfn.CONCAT("Lq_tas_", Table14[[#This Row],[dm]])</f>
        <v>Lq_tas_11</v>
      </c>
      <c r="E120" s="1" t="str">
        <f t="shared" si="51"/>
        <v>CUSTOM</v>
      </c>
      <c r="F120" s="1" t="str">
        <f>_xlfn.CONCAT("TAS ", Table14[[#This Row],[dm]], " mean in memory requests")</f>
        <v>TAS 11 mean in memory requests</v>
      </c>
      <c r="G120" s="1" t="str">
        <f>_xlfn.CONCAT("Average number of request in TAS ",Table14[[#This Row],[dm]], " memory")</f>
        <v>Average number of request in TAS 11 memory</v>
      </c>
      <c r="H120" s="1" t="b">
        <f t="shared" si="79"/>
        <v>0</v>
      </c>
      <c r="I120" s="1" t="str">
        <f t="shared" si="79"/>
        <v>CTRL</v>
      </c>
      <c r="J120" s="1" t="str">
        <f t="shared" si="79"/>
        <v>E</v>
      </c>
      <c r="K120" s="1" t="str">
        <f t="shared" si="79"/>
        <v>req</v>
      </c>
      <c r="L120" s="1">
        <v>1</v>
      </c>
      <c r="M120" s="1">
        <f>Table14[[#This Row],[_min]]+10</f>
        <v>11</v>
      </c>
      <c r="N120" s="1">
        <f>AVERAGE(Table14[[#This Row],[_min]:[_max]])</f>
        <v>6</v>
      </c>
      <c r="O120" s="1" t="str">
        <f>Table14[[#This Row],[_units]]</f>
        <v>req</v>
      </c>
      <c r="P120" s="1">
        <f>Table14[[#This Row],[_min]]</f>
        <v>1</v>
      </c>
      <c r="Q120" s="1">
        <f>Table14[[#This Row],[_max]]</f>
        <v>11</v>
      </c>
      <c r="R120" s="1">
        <f>Table14[[#This Row],[_mean]]</f>
        <v>6</v>
      </c>
      <c r="S120" s="1" t="str">
        <f t="shared" si="53"/>
        <v>queue_length</v>
      </c>
      <c r="T120" s="1" t="str">
        <f t="shared" ref="T120" si="88">_xlfn.CONCAT("['", C112, "' , '", C113, "' , '", C116, "' , '", C117, "']")</f>
        <v>['\lambda_{11}' , '\mu_{11}' , 'c_{11}' , 'K_{11}']</v>
      </c>
      <c r="U120" s="1" t="str">
        <f t="shared" si="87"/>
        <v>{}</v>
      </c>
    </row>
    <row r="121" spans="1:21" x14ac:dyDescent="0.5">
      <c r="A121" s="1">
        <v>120</v>
      </c>
      <c r="B121" s="1">
        <f t="shared" si="84"/>
        <v>11</v>
      </c>
      <c r="C121" s="1" t="str">
        <f>_xlfn.CONCAT("W_{",Table14[[#This Row],[dm]], "}")</f>
        <v>W_{11}</v>
      </c>
      <c r="D121" s="1" t="str">
        <f>_xlfn.CONCAT("W_tas_", Table14[[#This Row],[dm]])</f>
        <v>W_tas_11</v>
      </c>
      <c r="E121" s="1" t="str">
        <f t="shared" si="51"/>
        <v>CUSTOM</v>
      </c>
      <c r="F121" s="1" t="str">
        <f>_xlfn.CONCAT("TAS ", Table14[[#This Row],[dm]], " mean time to answer")</f>
        <v>TAS 11 mean time to answer</v>
      </c>
      <c r="G121" s="1" t="str">
        <f>_xlfn.CONCAT("Average time to complete a request in TAS ",Table14[[#This Row],[dm]])</f>
        <v>Average time to complete a request in TAS 11</v>
      </c>
      <c r="H121" s="1" t="b">
        <f t="shared" si="79"/>
        <v>1</v>
      </c>
      <c r="I121" s="1" t="str">
        <f t="shared" si="79"/>
        <v>OUT</v>
      </c>
      <c r="J121" s="1" t="str">
        <f t="shared" si="79"/>
        <v>T</v>
      </c>
      <c r="K121" s="1" t="str">
        <f t="shared" si="79"/>
        <v>s</v>
      </c>
      <c r="L121" s="1">
        <v>0</v>
      </c>
      <c r="M121" s="1">
        <v>2.68792294998129E-3</v>
      </c>
      <c r="N121" s="1">
        <v>2.68792294998129E-3</v>
      </c>
      <c r="O121" s="1" t="str">
        <f>Table14[[#This Row],[_units]]</f>
        <v>s</v>
      </c>
      <c r="P121" s="1">
        <f>Table14[[#This Row],[_min]]</f>
        <v>0</v>
      </c>
      <c r="Q121" s="1">
        <f>Table14[[#This Row],[_max]]</f>
        <v>2.68792294998129E-3</v>
      </c>
      <c r="R121" s="1">
        <f>Table14[[#This Row],[_mean]]</f>
        <v>2.68792294998129E-3</v>
      </c>
      <c r="S121" s="1" t="str">
        <f t="shared" si="53"/>
        <v>queue_time</v>
      </c>
      <c r="T121" s="1" t="str">
        <f t="shared" ref="T121" si="89">_xlfn.CONCAT("['", C115, "' , '", C119, "']")</f>
        <v>['\chi_{11}' , 'L_{11}']</v>
      </c>
      <c r="U121" s="1" t="str">
        <f t="shared" si="87"/>
        <v>{}</v>
      </c>
    </row>
    <row r="122" spans="1:21" x14ac:dyDescent="0.5">
      <c r="A122" s="1">
        <v>121</v>
      </c>
      <c r="B122" s="1">
        <f t="shared" si="84"/>
        <v>11</v>
      </c>
      <c r="C122" s="1" t="str">
        <f>_xlfn.CONCAT("Wq_{",Table14[[#This Row],[dm]], "}")</f>
        <v>Wq_{11}</v>
      </c>
      <c r="D122" s="1" t="str">
        <f>_xlfn.CONCAT("Wq_tas_", Table14[[#This Row],[dm]])</f>
        <v>Wq_tas_11</v>
      </c>
      <c r="E122" s="1" t="str">
        <f t="shared" si="51"/>
        <v>CUSTOM</v>
      </c>
      <c r="F122" s="1" t="str">
        <f>_xlfn.CONCAT("TAS ", Table14[[#This Row],[dm]], " mean time in buffer")</f>
        <v>TAS 11 mean time in buffer</v>
      </c>
      <c r="G122" s="1" t="str">
        <f>_xlfn.CONCAT("Average time for a request to transit the buffer in TAS ",Table14[[#This Row],[dm]])</f>
        <v>Average time for a request to transit the buffer in TAS 11</v>
      </c>
      <c r="H122" s="1" t="b">
        <f t="shared" si="79"/>
        <v>0</v>
      </c>
      <c r="I122" s="1" t="str">
        <f t="shared" si="79"/>
        <v>CTRL</v>
      </c>
      <c r="J122" s="1" t="str">
        <f t="shared" si="79"/>
        <v>T</v>
      </c>
      <c r="K122" s="1" t="str">
        <f t="shared" si="79"/>
        <v>s</v>
      </c>
      <c r="L122" s="1">
        <v>0</v>
      </c>
      <c r="M122" s="8">
        <v>8.6974113179947199E-4</v>
      </c>
      <c r="N122" s="8">
        <v>8.6974113179947199E-4</v>
      </c>
      <c r="O122" s="1" t="str">
        <f>Table14[[#This Row],[_units]]</f>
        <v>s</v>
      </c>
      <c r="P122" s="1">
        <f>Table14[[#This Row],[_min]]</f>
        <v>0</v>
      </c>
      <c r="Q122" s="1">
        <f>Table14[[#This Row],[_max]]</f>
        <v>8.6974113179947199E-4</v>
      </c>
      <c r="R122" s="1">
        <f>Table14[[#This Row],[_mean]]</f>
        <v>8.6974113179947199E-4</v>
      </c>
      <c r="S122" s="1" t="str">
        <f t="shared" si="53"/>
        <v>queue_time</v>
      </c>
      <c r="T122" s="1" t="str">
        <f t="shared" ref="T122" si="90">_xlfn.CONCAT("['", C115, "' , '", C120, "']")</f>
        <v>['\chi_{11}' , 'Lq_{11}']</v>
      </c>
      <c r="U122" s="1" t="str">
        <f t="shared" si="87"/>
        <v>{}</v>
      </c>
    </row>
    <row r="123" spans="1:21" x14ac:dyDescent="0.5">
      <c r="A123" s="1">
        <v>122</v>
      </c>
      <c r="B123" s="1">
        <f t="shared" si="84"/>
        <v>12</v>
      </c>
      <c r="C123" s="1" t="str">
        <f>_xlfn.CONCAT("\lambda_{", Table14[[#This Row],[dm]],"}")</f>
        <v>\lambda_{12}</v>
      </c>
      <c r="D123" s="1" t="str">
        <f>_xlfn.CONCAT("lambda_tas_", Table14[[#This Row],[dm]])</f>
        <v>lambda_tas_12</v>
      </c>
      <c r="E123" s="1" t="str">
        <f t="shared" si="51"/>
        <v>CUSTOM</v>
      </c>
      <c r="F123" s="1" t="str">
        <f>_xlfn.CONCAT("TAS ", Table14[[#This Row],[dm]], " arrival rate")</f>
        <v>TAS 12 arrival rate</v>
      </c>
      <c r="G123" s="1" t="str">
        <f>_xlfn.CONCAT("Arrival rate for TAS ",Table14[[#This Row],[dm]])</f>
        <v>Arrival rate for TAS 12</v>
      </c>
      <c r="H123" s="1" t="b">
        <f t="shared" si="79"/>
        <v>1</v>
      </c>
      <c r="I123" s="1" t="str">
        <f t="shared" si="79"/>
        <v>IN</v>
      </c>
      <c r="J123" s="1" t="str">
        <f t="shared" si="79"/>
        <v>E*T^-1</v>
      </c>
      <c r="K123" s="1" t="str">
        <f t="shared" si="79"/>
        <v>req/s</v>
      </c>
      <c r="L123" s="1">
        <f>0.1*174.225</f>
        <v>17.422499999999999</v>
      </c>
      <c r="M123" s="7">
        <f>1.9*174.225</f>
        <v>331.02749999999997</v>
      </c>
      <c r="N123" s="8">
        <f>AVERAGE(Table14[[#This Row],[_min]:[_max]])</f>
        <v>174.22499999999999</v>
      </c>
      <c r="O123" s="1" t="str">
        <f>Table14[[#This Row],[_units]]</f>
        <v>req/s</v>
      </c>
      <c r="P123" s="1">
        <f>Table14[[#This Row],[_min]]</f>
        <v>17.422499999999999</v>
      </c>
      <c r="Q123" s="1">
        <f>Table14[[#This Row],[_max]]</f>
        <v>331.02749999999997</v>
      </c>
      <c r="R123" s="1">
        <f>Table14[[#This Row],[_mean]]</f>
        <v>174.22499999999999</v>
      </c>
      <c r="S123" s="1" t="str">
        <f t="shared" si="53"/>
        <v>uniform</v>
      </c>
      <c r="T123" s="1" t="str">
        <f t="shared" si="0"/>
        <v>[]</v>
      </c>
      <c r="U123" s="1" t="str">
        <f>_xlfn.CONCAT("{'low': ", Table14[[#This Row],[_std_min]], ", 'high': ",Table14[[#This Row],[_std_max]],"}")</f>
        <v>{'low': 17.4225, 'high': 331.0275}</v>
      </c>
    </row>
    <row r="124" spans="1:21" x14ac:dyDescent="0.5">
      <c r="A124" s="1">
        <v>123</v>
      </c>
      <c r="B124" s="1">
        <f t="shared" si="84"/>
        <v>12</v>
      </c>
      <c r="C124" s="1" t="str">
        <f>_xlfn.CONCAT("\mu_{",Table14[[#This Row],[dm]], "}")</f>
        <v>\mu_{12}</v>
      </c>
      <c r="D124" s="1" t="str">
        <f>_xlfn.CONCAT("mu_tas_", Table14[[#This Row],[dm]])</f>
        <v>mu_tas_12</v>
      </c>
      <c r="E124" s="1" t="str">
        <f t="shared" si="51"/>
        <v>CUSTOM</v>
      </c>
      <c r="F124" s="1" t="str">
        <f>_xlfn.CONCAT("TAS ", Table14[[#This Row],[dm]], " service rate")</f>
        <v>TAS 12 service rate</v>
      </c>
      <c r="G124" s="1" t="str">
        <f>_xlfn.CONCAT("Service rate for TAS ",Table14[[#This Row],[dm]])</f>
        <v>Service rate for TAS 12</v>
      </c>
      <c r="H124" s="1" t="b">
        <f t="shared" si="79"/>
        <v>1</v>
      </c>
      <c r="I124" s="1" t="str">
        <f t="shared" si="79"/>
        <v>CTRL</v>
      </c>
      <c r="J124" s="1" t="str">
        <f t="shared" si="79"/>
        <v>E*T^-1</v>
      </c>
      <c r="K124" s="1" t="str">
        <f t="shared" si="79"/>
        <v>req/s</v>
      </c>
      <c r="L124" s="1">
        <f>0.1*700</f>
        <v>70</v>
      </c>
      <c r="M124" s="5">
        <f>1.9*700</f>
        <v>1330</v>
      </c>
      <c r="N124" s="4">
        <f>AVERAGE(Table14[[#This Row],[_min]:[_max]])</f>
        <v>700</v>
      </c>
      <c r="O124" s="1" t="str">
        <f>Table14[[#This Row],[_units]]</f>
        <v>req/s</v>
      </c>
      <c r="P124" s="1">
        <f>Table14[[#This Row],[_min]]</f>
        <v>70</v>
      </c>
      <c r="Q124" s="1">
        <f>Table14[[#This Row],[_max]]</f>
        <v>1330</v>
      </c>
      <c r="R124" s="1">
        <f>Table14[[#This Row],[_mean]]</f>
        <v>700</v>
      </c>
      <c r="S124" s="1" t="str">
        <f t="shared" si="53"/>
        <v>uniform</v>
      </c>
      <c r="T124" s="1" t="str">
        <f t="shared" si="0"/>
        <v>[]</v>
      </c>
      <c r="U124" s="1" t="str">
        <f>_xlfn.CONCAT("{'low': ", Table14[[#This Row],[_std_min]], ", 'high': ",Table14[[#This Row],[_std_max]],"}")</f>
        <v>{'low': 70, 'high': 1330}</v>
      </c>
    </row>
    <row r="125" spans="1:21" x14ac:dyDescent="0.5">
      <c r="A125" s="1">
        <v>124</v>
      </c>
      <c r="B125" s="1">
        <f t="shared" si="84"/>
        <v>12</v>
      </c>
      <c r="C125" s="1" t="str">
        <f>_xlfn.CONCAT("err_{",Table14[[#This Row],[dm]], "}")</f>
        <v>err_{12}</v>
      </c>
      <c r="D125" s="1" t="str">
        <f>_xlfn.CONCAT("err_tas_", Table14[[#This Row],[dm]])</f>
        <v>err_tas_12</v>
      </c>
      <c r="E125" s="1" t="str">
        <f t="shared" si="51"/>
        <v>CUSTOM</v>
      </c>
      <c r="F125" s="1" t="str">
        <f>_xlfn.CONCAT("TAS ", Table14[[#This Row],[dm]], " error probability")</f>
        <v>TAS 12 error probability</v>
      </c>
      <c r="G125" s="1" t="str">
        <f>_xlfn.CONCAT("Service error probability for TAS ",Table14[[#This Row],[dm]])</f>
        <v>Service error probability for TAS 12</v>
      </c>
      <c r="H125" s="1" t="b">
        <f t="shared" si="79"/>
        <v>0</v>
      </c>
      <c r="I125" s="1" t="str">
        <f t="shared" si="79"/>
        <v>CTRL</v>
      </c>
      <c r="J125" s="1" t="str">
        <f t="shared" si="79"/>
        <v>E*T^-1</v>
      </c>
      <c r="K125" s="1" t="str">
        <f t="shared" si="79"/>
        <v>n.a.</v>
      </c>
      <c r="L125" s="3">
        <v>0</v>
      </c>
      <c r="M125" s="3">
        <v>0</v>
      </c>
      <c r="N125" s="3">
        <v>0</v>
      </c>
      <c r="O125" s="1" t="str">
        <f>Table14[[#This Row],[_units]]</f>
        <v>n.a.</v>
      </c>
      <c r="P125" s="2">
        <f>Table14[[#This Row],[_min]]</f>
        <v>0</v>
      </c>
      <c r="Q125" s="2">
        <f>Table14[[#This Row],[_max]]</f>
        <v>0</v>
      </c>
      <c r="R125" s="2">
        <f>Table14[[#This Row],[_mean]]</f>
        <v>0</v>
      </c>
      <c r="S125" s="1" t="str">
        <f t="shared" si="53"/>
        <v>adjusted_uniform</v>
      </c>
      <c r="T125" s="1" t="str">
        <f t="shared" si="0"/>
        <v>[]</v>
      </c>
      <c r="U125" s="1" t="str">
        <f>_xlfn.CONCAT("{'constant': ",Table14[[#This Row],[_std_max]],"}")</f>
        <v>{'constant': 0}</v>
      </c>
    </row>
    <row r="126" spans="1:21" x14ac:dyDescent="0.5">
      <c r="A126" s="1">
        <v>125</v>
      </c>
      <c r="B126" s="1">
        <f t="shared" si="84"/>
        <v>12</v>
      </c>
      <c r="C126" s="1" t="str">
        <f>_xlfn.CONCAT("\chi_{",Table14[[#This Row],[dm]], "}")</f>
        <v>\chi_{12}</v>
      </c>
      <c r="D126" s="1" t="str">
        <f>_xlfn.CONCAT("chi_tas_", Table14[[#This Row],[dm]])</f>
        <v>chi_tas_12</v>
      </c>
      <c r="E126" s="1" t="str">
        <f t="shared" si="51"/>
        <v>CUSTOM</v>
      </c>
      <c r="F126" s="1" t="str">
        <f>_xlfn.CONCAT("TAS ", Table14[[#This Row],[dm]], " departure rate")</f>
        <v>TAS 12 departure rate</v>
      </c>
      <c r="G126" s="1" t="str">
        <f>_xlfn.CONCAT("Departure rate for TAS ",Table14[[#This Row],[dm]])</f>
        <v>Departure rate for TAS 12</v>
      </c>
      <c r="H126" s="1" t="b">
        <f t="shared" ref="H126:K141" si="91">H115</f>
        <v>1</v>
      </c>
      <c r="I126" s="1" t="str">
        <f t="shared" si="91"/>
        <v>CTRL</v>
      </c>
      <c r="J126" s="1" t="str">
        <f t="shared" si="91"/>
        <v>E*T^-1</v>
      </c>
      <c r="K126" s="1" t="str">
        <f t="shared" si="91"/>
        <v>req/s</v>
      </c>
      <c r="L126" s="1">
        <f>0.1*174.225</f>
        <v>17.422499999999999</v>
      </c>
      <c r="M126" s="7">
        <f>1.9*174.225</f>
        <v>331.02749999999997</v>
      </c>
      <c r="N126" s="6">
        <f>AVERAGE(Table14[[#This Row],[_min]:[_max]])</f>
        <v>174.22499999999999</v>
      </c>
      <c r="O126" s="1" t="str">
        <f>Table14[[#This Row],[_units]]</f>
        <v>req/s</v>
      </c>
      <c r="P126" s="1">
        <f>Table14[[#This Row],[_min]]</f>
        <v>17.422499999999999</v>
      </c>
      <c r="Q126" s="1">
        <f>Table14[[#This Row],[_max]]</f>
        <v>331.02749999999997</v>
      </c>
      <c r="R126" s="1">
        <f>Table14[[#This Row],[_mean]]</f>
        <v>174.22499999999999</v>
      </c>
      <c r="S126" s="1" t="str">
        <f t="shared" si="53"/>
        <v>adjusted_rate</v>
      </c>
      <c r="T126" s="1" t="str">
        <f t="shared" ref="T126" si="92">_xlfn.CONCAT("['", C123, "' , '", C125, "']")</f>
        <v>['\lambda_{12}' , 'err_{12}']</v>
      </c>
      <c r="U126" s="1" t="str">
        <f t="shared" ref="U126" si="93">_xlfn.CONCAT("{", "}")</f>
        <v>{}</v>
      </c>
    </row>
    <row r="127" spans="1:21" x14ac:dyDescent="0.5">
      <c r="A127" s="1">
        <v>126</v>
      </c>
      <c r="B127" s="1">
        <f t="shared" si="84"/>
        <v>12</v>
      </c>
      <c r="C127" s="1" t="str">
        <f>_xlfn.CONCAT("c_{",Table14[[#This Row],[dm]], "}")</f>
        <v>c_{12}</v>
      </c>
      <c r="D127" s="1" t="str">
        <f>_xlfn.CONCAT("c_tas_", Table14[[#This Row],[dm]])</f>
        <v>c_tas_12</v>
      </c>
      <c r="E127" s="1" t="str">
        <f t="shared" si="51"/>
        <v>CUSTOM</v>
      </c>
      <c r="F127" s="1" t="str">
        <f>_xlfn.CONCAT("TAS ", Table14[[#This Row],[dm]], " resourses")</f>
        <v>TAS 12 resourses</v>
      </c>
      <c r="G127" s="1" t="str">
        <f>_xlfn.CONCAT("Number of resources allocated in TAS ",Table14[[#This Row],[dm]])</f>
        <v>Number of resources allocated in TAS 12</v>
      </c>
      <c r="H127" s="1" t="b">
        <f t="shared" si="91"/>
        <v>1</v>
      </c>
      <c r="I127" s="1" t="str">
        <f t="shared" si="91"/>
        <v>IN</v>
      </c>
      <c r="J127" s="1" t="str">
        <f t="shared" si="91"/>
        <v>E</v>
      </c>
      <c r="K127" s="1" t="str">
        <f t="shared" si="91"/>
        <v>req</v>
      </c>
      <c r="L127" s="1">
        <v>1</v>
      </c>
      <c r="M127" s="1">
        <f>Table14[[#This Row],[_min]]+2</f>
        <v>3</v>
      </c>
      <c r="N127" s="1">
        <f>AVERAGE(Table14[[#This Row],[_min]:[_max]])</f>
        <v>2</v>
      </c>
      <c r="O127" s="1" t="str">
        <f>Table14[[#This Row],[_units]]</f>
        <v>req</v>
      </c>
      <c r="P127" s="1">
        <f>Table14[[#This Row],[_min]]</f>
        <v>1</v>
      </c>
      <c r="Q127" s="1">
        <f>Table14[[#This Row],[_max]]</f>
        <v>3</v>
      </c>
      <c r="R127" s="1">
        <f>Table14[[#This Row],[_mean]]</f>
        <v>2</v>
      </c>
      <c r="S127" s="1" t="str">
        <f t="shared" si="53"/>
        <v>uniform_int</v>
      </c>
      <c r="T127" s="1" t="str">
        <f t="shared" si="0"/>
        <v>[]</v>
      </c>
      <c r="U127" s="1" t="str">
        <f>_xlfn.CONCAT("{'low': ", Table14[[#This Row],[_std_min]], ", 'high': ",Table14[[#This Row],[_std_max]],"}")</f>
        <v>{'low': 1, 'high': 3}</v>
      </c>
    </row>
    <row r="128" spans="1:21" x14ac:dyDescent="0.5">
      <c r="A128" s="1">
        <v>127</v>
      </c>
      <c r="B128" s="1">
        <f t="shared" si="84"/>
        <v>12</v>
      </c>
      <c r="C128" s="1" t="str">
        <f>_xlfn.CONCAT("K_{",Table14[[#This Row],[dm]],"}")</f>
        <v>K_{12}</v>
      </c>
      <c r="D128" s="1" t="str">
        <f>_xlfn.CONCAT("K_tas_", Table14[[#This Row],[dm]])</f>
        <v>K_tas_12</v>
      </c>
      <c r="E128" s="1" t="str">
        <f t="shared" si="51"/>
        <v>CUSTOM</v>
      </c>
      <c r="F128" s="1" t="str">
        <f>_xlfn.CONCAT("TAS ", Table14[[#This Row],[dm]], " q-capacity")</f>
        <v>TAS 12 q-capacity</v>
      </c>
      <c r="G128" s="1" t="str">
        <f>_xlfn.CONCAT("Allocated request capacity in TAS ",Table14[[#This Row],[dm]]," memory buffer")</f>
        <v>Allocated request capacity in TAS 12 memory buffer</v>
      </c>
      <c r="H128" s="1" t="b">
        <f t="shared" si="91"/>
        <v>1</v>
      </c>
      <c r="I128" s="1" t="str">
        <f t="shared" si="91"/>
        <v>CTRL</v>
      </c>
      <c r="J128" s="1" t="str">
        <f t="shared" si="91"/>
        <v>E</v>
      </c>
      <c r="K128" s="1" t="str">
        <f t="shared" si="91"/>
        <v>req</v>
      </c>
      <c r="L128" s="1">
        <v>1</v>
      </c>
      <c r="M128" s="1">
        <f>Table14[[#This Row],[_min]]+10</f>
        <v>11</v>
      </c>
      <c r="N128" s="1">
        <f>AVERAGE(Table14[[#This Row],[_min]:[_max]])</f>
        <v>6</v>
      </c>
      <c r="O128" s="1" t="str">
        <f>Table14[[#This Row],[_units]]</f>
        <v>req</v>
      </c>
      <c r="P128" s="1">
        <f>Table14[[#This Row],[_min]]</f>
        <v>1</v>
      </c>
      <c r="Q128" s="1">
        <f>Table14[[#This Row],[_max]]</f>
        <v>11</v>
      </c>
      <c r="R128" s="1">
        <f>Table14[[#This Row],[_mean]]</f>
        <v>6</v>
      </c>
      <c r="S128" s="1" t="str">
        <f t="shared" si="53"/>
        <v>shifted_uniform_int</v>
      </c>
      <c r="T128" s="1" t="str">
        <f t="shared" ref="T128" si="94">_xlfn.CONCAT("['", C127, "']")</f>
        <v>['c_{12}']</v>
      </c>
      <c r="U128" s="1" t="str">
        <f>_xlfn.CONCAT("{'low': ", Table14[[#This Row],[_std_min]], ", 'high': ",Table14[[#This Row],[_std_max]],"}")</f>
        <v>{'low': 1, 'high': 11}</v>
      </c>
    </row>
    <row r="129" spans="1:21" x14ac:dyDescent="0.5">
      <c r="A129" s="1">
        <v>128</v>
      </c>
      <c r="B129" s="1">
        <f t="shared" si="84"/>
        <v>12</v>
      </c>
      <c r="C129" s="1" t="str">
        <f>_xlfn.CONCAT("\delta_{", Table14[[#This Row],[dm]],"}")</f>
        <v>\delta_{12}</v>
      </c>
      <c r="D129" s="1" t="str">
        <f>_xlfn.CONCAT("delta_tas_", Table14[[#This Row],[dm]])</f>
        <v>delta_tas_12</v>
      </c>
      <c r="E129" s="1" t="str">
        <f t="shared" si="51"/>
        <v>CUSTOM</v>
      </c>
      <c r="F129" s="1" t="str">
        <f>_xlfn.CONCAT("TAS ", Table14[[#This Row],[dm]], " req data density")</f>
        <v>TAS 12 req data density</v>
      </c>
      <c r="G129" s="1" t="str">
        <f>_xlfn.CONCAT("Data density for request in TAS ", Table14[[#This Row],[dm]], " expected data per requests")</f>
        <v>Data density for request in TAS 12 expected data per requests</v>
      </c>
      <c r="H129" s="1" t="b">
        <f t="shared" si="91"/>
        <v>0</v>
      </c>
      <c r="I129" s="1" t="str">
        <f t="shared" si="91"/>
        <v>IN</v>
      </c>
      <c r="J129" s="1" t="str">
        <f t="shared" si="91"/>
        <v>D*E^-1</v>
      </c>
      <c r="K129" s="1" t="str">
        <f t="shared" si="91"/>
        <v>kB/req</v>
      </c>
      <c r="L129" s="1">
        <v>128</v>
      </c>
      <c r="M129" s="1">
        <f>2*1000</f>
        <v>2000</v>
      </c>
      <c r="N129" s="1">
        <f>AVERAGE(Table14[[#This Row],[_min]:[_max]])</f>
        <v>1064</v>
      </c>
      <c r="O129" s="1" t="s">
        <v>11</v>
      </c>
      <c r="P129" s="1">
        <f>Table14[[#This Row],[_min]]*1024000</f>
        <v>131072000</v>
      </c>
      <c r="Q129" s="1">
        <f>Table14[[#This Row],[_max]]*1024000</f>
        <v>2048000000</v>
      </c>
      <c r="R129" s="1">
        <f>Table14[[#This Row],[_mean]]*1024000</f>
        <v>1089536000</v>
      </c>
      <c r="S129" s="1" t="str">
        <f t="shared" si="53"/>
        <v>uniform</v>
      </c>
      <c r="T129" s="1" t="str">
        <f t="shared" si="0"/>
        <v>[]</v>
      </c>
      <c r="U129" s="1" t="str">
        <f>_xlfn.CONCAT("{'low': ", Table14[[#This Row],[_std_min]], ", 'high': ",Table14[[#This Row],[_std_max]],"}")</f>
        <v>{'low': 131072000, 'high': 2048000000}</v>
      </c>
    </row>
    <row r="130" spans="1:21" x14ac:dyDescent="0.5">
      <c r="A130" s="1">
        <v>129</v>
      </c>
      <c r="B130" s="1">
        <f t="shared" si="84"/>
        <v>12</v>
      </c>
      <c r="C130" s="1" t="str">
        <f>_xlfn.CONCAT("L_{",Table14[[#This Row],[dm]], "}")</f>
        <v>L_{12}</v>
      </c>
      <c r="D130" s="1" t="str">
        <f>_xlfn.CONCAT("L_tas_", Table14[[#This Row],[dm]])</f>
        <v>L_tas_12</v>
      </c>
      <c r="E130" s="1" t="str">
        <f t="shared" si="51"/>
        <v>CUSTOM</v>
      </c>
      <c r="F130" s="1" t="str">
        <f>_xlfn.CONCAT("TAS ", Table14[[#This Row],[dm]], " mean processing requests")</f>
        <v>TAS 12 mean processing requests</v>
      </c>
      <c r="G130" s="1" t="str">
        <f>_xlfn.CONCAT("Average number of request in TAS ",Table14[[#This Row],[dm]], " component")</f>
        <v>Average number of request in TAS 12 component</v>
      </c>
      <c r="H130" s="1" t="b">
        <f t="shared" si="91"/>
        <v>1</v>
      </c>
      <c r="I130" s="1" t="str">
        <f t="shared" si="91"/>
        <v>CTRL</v>
      </c>
      <c r="J130" s="1" t="str">
        <f t="shared" si="91"/>
        <v>E</v>
      </c>
      <c r="K130" s="1" t="str">
        <f t="shared" si="91"/>
        <v>req</v>
      </c>
      <c r="L130" s="1">
        <v>1</v>
      </c>
      <c r="M130" s="1">
        <f>Table14[[#This Row],[_min]]+10</f>
        <v>11</v>
      </c>
      <c r="N130" s="1">
        <f>AVERAGE(Table14[[#This Row],[_min]:[_max]])</f>
        <v>6</v>
      </c>
      <c r="O130" s="1" t="str">
        <f>Table14[[#This Row],[_units]]</f>
        <v>req</v>
      </c>
      <c r="P130" s="1">
        <f>Table14[[#This Row],[_min]]</f>
        <v>1</v>
      </c>
      <c r="Q130" s="1">
        <f>Table14[[#This Row],[_max]]</f>
        <v>11</v>
      </c>
      <c r="R130" s="1">
        <f>Table14[[#This Row],[_mean]]</f>
        <v>6</v>
      </c>
      <c r="S130" s="1" t="str">
        <f t="shared" si="53"/>
        <v>queue_length</v>
      </c>
      <c r="T130" s="1" t="str">
        <f t="shared" ref="T130" si="95">_xlfn.CONCAT("['", C123, "' , '", C124, "' , '", C127, "' , '", C128, "']")</f>
        <v>['\lambda_{12}' , '\mu_{12}' , 'c_{12}' , 'K_{12}']</v>
      </c>
      <c r="U130" s="1" t="str">
        <f t="shared" ref="U130:U133" si="96">_xlfn.CONCAT("{", "}")</f>
        <v>{}</v>
      </c>
    </row>
    <row r="131" spans="1:21" x14ac:dyDescent="0.5">
      <c r="A131" s="1">
        <v>130</v>
      </c>
      <c r="B131" s="1">
        <f t="shared" si="84"/>
        <v>12</v>
      </c>
      <c r="C131" s="1" t="str">
        <f>_xlfn.CONCAT("Lq_{",Table14[[#This Row],[dm]], "}")</f>
        <v>Lq_{12}</v>
      </c>
      <c r="D131" s="1" t="str">
        <f>_xlfn.CONCAT("Lq_tas_", Table14[[#This Row],[dm]])</f>
        <v>Lq_tas_12</v>
      </c>
      <c r="E131" s="1" t="str">
        <f t="shared" si="51"/>
        <v>CUSTOM</v>
      </c>
      <c r="F131" s="1" t="str">
        <f>_xlfn.CONCAT("TAS ", Table14[[#This Row],[dm]], " mean in memory requests")</f>
        <v>TAS 12 mean in memory requests</v>
      </c>
      <c r="G131" s="1" t="str">
        <f>_xlfn.CONCAT("Average number of request in TAS ",Table14[[#This Row],[dm]], " memory")</f>
        <v>Average number of request in TAS 12 memory</v>
      </c>
      <c r="H131" s="1" t="b">
        <f t="shared" si="91"/>
        <v>0</v>
      </c>
      <c r="I131" s="1" t="str">
        <f t="shared" si="91"/>
        <v>CTRL</v>
      </c>
      <c r="J131" s="1" t="str">
        <f t="shared" si="91"/>
        <v>E</v>
      </c>
      <c r="K131" s="1" t="str">
        <f t="shared" si="91"/>
        <v>req</v>
      </c>
      <c r="L131" s="1">
        <v>1</v>
      </c>
      <c r="M131" s="1">
        <f>Table14[[#This Row],[_min]]+10</f>
        <v>11</v>
      </c>
      <c r="N131" s="1">
        <f>AVERAGE(Table14[[#This Row],[_min]:[_max]])</f>
        <v>6</v>
      </c>
      <c r="O131" s="1" t="str">
        <f>Table14[[#This Row],[_units]]</f>
        <v>req</v>
      </c>
      <c r="P131" s="1">
        <f>Table14[[#This Row],[_min]]</f>
        <v>1</v>
      </c>
      <c r="Q131" s="1">
        <f>Table14[[#This Row],[_max]]</f>
        <v>11</v>
      </c>
      <c r="R131" s="1">
        <f>Table14[[#This Row],[_mean]]</f>
        <v>6</v>
      </c>
      <c r="S131" s="1" t="str">
        <f t="shared" si="53"/>
        <v>queue_length</v>
      </c>
      <c r="T131" s="1" t="str">
        <f t="shared" ref="T131" si="97">_xlfn.CONCAT("['", C123, "' , '", C124, "' , '", C127, "' , '", C128, "']")</f>
        <v>['\lambda_{12}' , '\mu_{12}' , 'c_{12}' , 'K_{12}']</v>
      </c>
      <c r="U131" s="1" t="str">
        <f t="shared" si="96"/>
        <v>{}</v>
      </c>
    </row>
    <row r="132" spans="1:21" x14ac:dyDescent="0.5">
      <c r="A132" s="1">
        <v>131</v>
      </c>
      <c r="B132" s="1">
        <f t="shared" si="84"/>
        <v>12</v>
      </c>
      <c r="C132" s="1" t="str">
        <f>_xlfn.CONCAT("W_{",Table14[[#This Row],[dm]], "}")</f>
        <v>W_{12}</v>
      </c>
      <c r="D132" s="1" t="str">
        <f>_xlfn.CONCAT("W_tas_", Table14[[#This Row],[dm]])</f>
        <v>W_tas_12</v>
      </c>
      <c r="E132" s="1" t="str">
        <f t="shared" si="51"/>
        <v>CUSTOM</v>
      </c>
      <c r="F132" s="1" t="str">
        <f>_xlfn.CONCAT("TAS ", Table14[[#This Row],[dm]], " mean time to answer")</f>
        <v>TAS 12 mean time to answer</v>
      </c>
      <c r="G132" s="1" t="str">
        <f>_xlfn.CONCAT("Average time to complete a request in TAS ",Table14[[#This Row],[dm]])</f>
        <v>Average time to complete a request in TAS 12</v>
      </c>
      <c r="H132" s="1" t="b">
        <f t="shared" si="91"/>
        <v>1</v>
      </c>
      <c r="I132" s="1" t="str">
        <f t="shared" si="91"/>
        <v>OUT</v>
      </c>
      <c r="J132" s="1" t="str">
        <f t="shared" si="91"/>
        <v>T</v>
      </c>
      <c r="K132" s="1" t="str">
        <f t="shared" si="91"/>
        <v>s</v>
      </c>
      <c r="L132" s="1">
        <v>0</v>
      </c>
      <c r="M132" s="8">
        <v>1.89254793212382E-3</v>
      </c>
      <c r="N132" s="8">
        <v>1.89254793212382E-3</v>
      </c>
      <c r="O132" s="1" t="str">
        <f>Table14[[#This Row],[_units]]</f>
        <v>s</v>
      </c>
      <c r="P132" s="1">
        <f>Table14[[#This Row],[_min]]</f>
        <v>0</v>
      </c>
      <c r="Q132" s="1">
        <f>Table14[[#This Row],[_max]]</f>
        <v>1.89254793212382E-3</v>
      </c>
      <c r="R132" s="1">
        <f>Table14[[#This Row],[_mean]]</f>
        <v>1.89254793212382E-3</v>
      </c>
      <c r="S132" s="1" t="str">
        <f t="shared" si="53"/>
        <v>queue_time</v>
      </c>
      <c r="T132" s="1" t="str">
        <f t="shared" ref="T132" si="98">_xlfn.CONCAT("['", C126, "' , '", C130, "']")</f>
        <v>['\chi_{12}' , 'L_{12}']</v>
      </c>
      <c r="U132" s="1" t="str">
        <f t="shared" si="96"/>
        <v>{}</v>
      </c>
    </row>
    <row r="133" spans="1:21" x14ac:dyDescent="0.5">
      <c r="A133" s="1">
        <v>132</v>
      </c>
      <c r="B133" s="1">
        <f t="shared" si="84"/>
        <v>12</v>
      </c>
      <c r="C133" s="1" t="str">
        <f>_xlfn.CONCAT("Wq_{",Table14[[#This Row],[dm]], "}")</f>
        <v>Wq_{12}</v>
      </c>
      <c r="D133" s="1" t="str">
        <f>_xlfn.CONCAT("Wq_tas_", Table14[[#This Row],[dm]])</f>
        <v>Wq_tas_12</v>
      </c>
      <c r="E133" s="1" t="str">
        <f t="shared" si="51"/>
        <v>CUSTOM</v>
      </c>
      <c r="F133" s="1" t="str">
        <f>_xlfn.CONCAT("TAS ", Table14[[#This Row],[dm]], " mean time in buffer")</f>
        <v>TAS 12 mean time in buffer</v>
      </c>
      <c r="G133" s="1" t="str">
        <f>_xlfn.CONCAT("Average time for a request to transit the buffer in TAS ",Table14[[#This Row],[dm]])</f>
        <v>Average time for a request to transit the buffer in TAS 12</v>
      </c>
      <c r="H133" s="1" t="b">
        <f t="shared" si="91"/>
        <v>0</v>
      </c>
      <c r="I133" s="1" t="str">
        <f t="shared" si="91"/>
        <v>CTRL</v>
      </c>
      <c r="J133" s="1" t="str">
        <f t="shared" si="91"/>
        <v>T</v>
      </c>
      <c r="K133" s="1" t="str">
        <f t="shared" si="91"/>
        <v>s</v>
      </c>
      <c r="L133" s="1">
        <v>0</v>
      </c>
      <c r="M133" s="8">
        <v>4.6397650355239602E-4</v>
      </c>
      <c r="N133" s="8">
        <v>4.6397650355239602E-4</v>
      </c>
      <c r="O133" s="1" t="str">
        <f>Table14[[#This Row],[_units]]</f>
        <v>s</v>
      </c>
      <c r="P133" s="1">
        <f>Table14[[#This Row],[_min]]</f>
        <v>0</v>
      </c>
      <c r="Q133" s="1">
        <f>Table14[[#This Row],[_max]]</f>
        <v>4.6397650355239602E-4</v>
      </c>
      <c r="R133" s="1">
        <f>Table14[[#This Row],[_mean]]</f>
        <v>4.6397650355239602E-4</v>
      </c>
      <c r="S133" s="1" t="str">
        <f t="shared" si="53"/>
        <v>queue_time</v>
      </c>
      <c r="T133" s="1" t="str">
        <f t="shared" ref="T133" si="99">_xlfn.CONCAT("['", C126, "' , '", C131, "']")</f>
        <v>['\chi_{12}' , 'Lq_{12}']</v>
      </c>
      <c r="U133" s="1" t="str">
        <f t="shared" si="96"/>
        <v>{}</v>
      </c>
    </row>
    <row r="134" spans="1:21" x14ac:dyDescent="0.5">
      <c r="A134" s="1">
        <v>133</v>
      </c>
      <c r="B134" s="1">
        <f t="shared" si="84"/>
        <v>13</v>
      </c>
      <c r="C134" s="1" t="str">
        <f>_xlfn.CONCAT("\lambda_{", Table14[[#This Row],[dm]],"}")</f>
        <v>\lambda_{13}</v>
      </c>
      <c r="D134" s="1" t="str">
        <f>_xlfn.CONCAT("lambda_tas_", Table14[[#This Row],[dm]])</f>
        <v>lambda_tas_13</v>
      </c>
      <c r="E134" s="1" t="str">
        <f t="shared" si="51"/>
        <v>CUSTOM</v>
      </c>
      <c r="F134" s="1" t="str">
        <f>_xlfn.CONCAT("TAS ", Table14[[#This Row],[dm]], " arrival rate")</f>
        <v>TAS 13 arrival rate</v>
      </c>
      <c r="G134" s="1" t="str">
        <f>_xlfn.CONCAT("Arrival rate for TAS ",Table14[[#This Row],[dm]])</f>
        <v>Arrival rate for TAS 13</v>
      </c>
      <c r="H134" s="1" t="b">
        <f t="shared" si="91"/>
        <v>1</v>
      </c>
      <c r="I134" s="1" t="str">
        <f t="shared" si="91"/>
        <v>IN</v>
      </c>
      <c r="J134" s="1" t="str">
        <f t="shared" si="91"/>
        <v>E*T^-1</v>
      </c>
      <c r="K134" s="1" t="str">
        <f t="shared" si="91"/>
        <v>req/s</v>
      </c>
      <c r="L134" s="1">
        <f>0.1*170.775</f>
        <v>17.077500000000001</v>
      </c>
      <c r="M134" s="7">
        <f>1.9*170.775</f>
        <v>324.47249999999997</v>
      </c>
      <c r="N134" s="4">
        <f>AVERAGE(Table14[[#This Row],[_min]:[_max]])</f>
        <v>170.77499999999998</v>
      </c>
      <c r="O134" s="1" t="str">
        <f>Table14[[#This Row],[_units]]</f>
        <v>req/s</v>
      </c>
      <c r="P134" s="1">
        <f>Table14[[#This Row],[_min]]</f>
        <v>17.077500000000001</v>
      </c>
      <c r="Q134" s="1">
        <f>Table14[[#This Row],[_max]]</f>
        <v>324.47249999999997</v>
      </c>
      <c r="R134" s="1">
        <f>Table14[[#This Row],[_mean]]</f>
        <v>170.77499999999998</v>
      </c>
      <c r="S134" s="1" t="str">
        <f t="shared" si="53"/>
        <v>uniform</v>
      </c>
      <c r="T134" s="1" t="str">
        <f t="shared" si="0"/>
        <v>[]</v>
      </c>
      <c r="U134" s="1" t="str">
        <f>_xlfn.CONCAT("{'low': ", Table14[[#This Row],[_std_min]], ", 'high': ",Table14[[#This Row],[_std_max]],"}")</f>
        <v>{'low': 17.0775, 'high': 324.4725}</v>
      </c>
    </row>
    <row r="135" spans="1:21" x14ac:dyDescent="0.5">
      <c r="A135" s="1">
        <v>134</v>
      </c>
      <c r="B135" s="1">
        <f t="shared" si="84"/>
        <v>13</v>
      </c>
      <c r="C135" s="1" t="str">
        <f>_xlfn.CONCAT("\mu_{",Table14[[#This Row],[dm]], "}")</f>
        <v>\mu_{13}</v>
      </c>
      <c r="D135" s="1" t="str">
        <f>_xlfn.CONCAT("mu_tas_", Table14[[#This Row],[dm]])</f>
        <v>mu_tas_13</v>
      </c>
      <c r="E135" s="1" t="str">
        <f t="shared" si="51"/>
        <v>CUSTOM</v>
      </c>
      <c r="F135" s="1" t="str">
        <f>_xlfn.CONCAT("TAS ", Table14[[#This Row],[dm]], " service rate")</f>
        <v>TAS 13 service rate</v>
      </c>
      <c r="G135" s="1" t="str">
        <f>_xlfn.CONCAT("Service rate for TAS ",Table14[[#This Row],[dm]])</f>
        <v>Service rate for TAS 13</v>
      </c>
      <c r="H135" s="1" t="b">
        <f t="shared" si="91"/>
        <v>1</v>
      </c>
      <c r="I135" s="1" t="str">
        <f t="shared" si="91"/>
        <v>CTRL</v>
      </c>
      <c r="J135" s="1" t="str">
        <f t="shared" si="91"/>
        <v>E*T^-1</v>
      </c>
      <c r="K135" s="1" t="str">
        <f t="shared" si="91"/>
        <v>req/s</v>
      </c>
      <c r="L135" s="1">
        <f>0.1*700</f>
        <v>70</v>
      </c>
      <c r="M135" s="5">
        <f>1.9*700</f>
        <v>1330</v>
      </c>
      <c r="N135" s="4">
        <f>AVERAGE(Table14[[#This Row],[_min]:[_max]])</f>
        <v>700</v>
      </c>
      <c r="O135" s="1" t="str">
        <f>Table14[[#This Row],[_units]]</f>
        <v>req/s</v>
      </c>
      <c r="P135" s="1">
        <f>Table14[[#This Row],[_min]]</f>
        <v>70</v>
      </c>
      <c r="Q135" s="1">
        <f>Table14[[#This Row],[_max]]</f>
        <v>1330</v>
      </c>
      <c r="R135" s="1">
        <f>Table14[[#This Row],[_mean]]</f>
        <v>700</v>
      </c>
      <c r="S135" s="1" t="str">
        <f t="shared" si="53"/>
        <v>uniform</v>
      </c>
      <c r="T135" s="1" t="str">
        <f t="shared" si="0"/>
        <v>[]</v>
      </c>
      <c r="U135" s="1" t="str">
        <f>_xlfn.CONCAT("{'low': ", Table14[[#This Row],[_std_min]], ", 'high': ",Table14[[#This Row],[_std_max]],"}")</f>
        <v>{'low': 70, 'high': 1330}</v>
      </c>
    </row>
    <row r="136" spans="1:21" x14ac:dyDescent="0.5">
      <c r="A136" s="1">
        <v>135</v>
      </c>
      <c r="B136" s="1">
        <f t="shared" si="84"/>
        <v>13</v>
      </c>
      <c r="C136" s="1" t="str">
        <f>_xlfn.CONCAT("err_{",Table14[[#This Row],[dm]], "}")</f>
        <v>err_{13}</v>
      </c>
      <c r="D136" s="1" t="str">
        <f>_xlfn.CONCAT("err_tas_", Table14[[#This Row],[dm]])</f>
        <v>err_tas_13</v>
      </c>
      <c r="E136" s="1" t="str">
        <f t="shared" si="51"/>
        <v>CUSTOM</v>
      </c>
      <c r="F136" s="1" t="str">
        <f>_xlfn.CONCAT("TAS ", Table14[[#This Row],[dm]], " error probability")</f>
        <v>TAS 13 error probability</v>
      </c>
      <c r="G136" s="1" t="str">
        <f>_xlfn.CONCAT("Service error probability for TAS ",Table14[[#This Row],[dm]])</f>
        <v>Service error probability for TAS 13</v>
      </c>
      <c r="H136" s="1" t="b">
        <f t="shared" si="91"/>
        <v>0</v>
      </c>
      <c r="I136" s="1" t="str">
        <f t="shared" si="91"/>
        <v>CTRL</v>
      </c>
      <c r="J136" s="1" t="str">
        <f t="shared" si="91"/>
        <v>E*T^-1</v>
      </c>
      <c r="K136" s="1" t="str">
        <f t="shared" si="91"/>
        <v>n.a.</v>
      </c>
      <c r="L136" s="3">
        <v>0</v>
      </c>
      <c r="M136" s="3">
        <v>0</v>
      </c>
      <c r="N136" s="3">
        <v>0</v>
      </c>
      <c r="O136" s="1" t="str">
        <f>Table14[[#This Row],[_units]]</f>
        <v>n.a.</v>
      </c>
      <c r="P136" s="2">
        <f>Table14[[#This Row],[_min]]</f>
        <v>0</v>
      </c>
      <c r="Q136" s="2">
        <f>Table14[[#This Row],[_max]]</f>
        <v>0</v>
      </c>
      <c r="R136" s="2">
        <f>Table14[[#This Row],[_mean]]</f>
        <v>0</v>
      </c>
      <c r="S136" s="1" t="str">
        <f t="shared" si="53"/>
        <v>adjusted_uniform</v>
      </c>
      <c r="T136" s="1" t="str">
        <f t="shared" si="0"/>
        <v>[]</v>
      </c>
      <c r="U136" s="1" t="str">
        <f>_xlfn.CONCAT("{'constant': ",Table14[[#This Row],[_std_max]],"}")</f>
        <v>{'constant': 0}</v>
      </c>
    </row>
    <row r="137" spans="1:21" x14ac:dyDescent="0.5">
      <c r="A137" s="1">
        <v>136</v>
      </c>
      <c r="B137" s="1">
        <f t="shared" si="84"/>
        <v>13</v>
      </c>
      <c r="C137" s="1" t="str">
        <f>_xlfn.CONCAT("\chi_{",Table14[[#This Row],[dm]], "}")</f>
        <v>\chi_{13}</v>
      </c>
      <c r="D137" s="1" t="str">
        <f>_xlfn.CONCAT("chi_tas_", Table14[[#This Row],[dm]])</f>
        <v>chi_tas_13</v>
      </c>
      <c r="E137" s="1" t="str">
        <f t="shared" si="51"/>
        <v>CUSTOM</v>
      </c>
      <c r="F137" s="1" t="str">
        <f>_xlfn.CONCAT("TAS ", Table14[[#This Row],[dm]], " departure rate")</f>
        <v>TAS 13 departure rate</v>
      </c>
      <c r="G137" s="1" t="str">
        <f>_xlfn.CONCAT("Departure rate for TAS ",Table14[[#This Row],[dm]])</f>
        <v>Departure rate for TAS 13</v>
      </c>
      <c r="H137" s="1" t="b">
        <f t="shared" si="91"/>
        <v>1</v>
      </c>
      <c r="I137" s="1" t="str">
        <f t="shared" si="91"/>
        <v>CTRL</v>
      </c>
      <c r="J137" s="1" t="str">
        <f t="shared" si="91"/>
        <v>E*T^-1</v>
      </c>
      <c r="K137" s="1" t="str">
        <f t="shared" si="91"/>
        <v>req/s</v>
      </c>
      <c r="L137" s="1">
        <f>0.1*170.775</f>
        <v>17.077500000000001</v>
      </c>
      <c r="M137" s="7">
        <f>1.9*170.775</f>
        <v>324.47249999999997</v>
      </c>
      <c r="N137" s="6">
        <f>AVERAGE(Table14[[#This Row],[_min]:[_max]])</f>
        <v>170.77499999999998</v>
      </c>
      <c r="O137" s="1" t="str">
        <f>Table14[[#This Row],[_units]]</f>
        <v>req/s</v>
      </c>
      <c r="P137" s="1">
        <f>Table14[[#This Row],[_min]]</f>
        <v>17.077500000000001</v>
      </c>
      <c r="Q137" s="1">
        <f>Table14[[#This Row],[_max]]</f>
        <v>324.47249999999997</v>
      </c>
      <c r="R137" s="1">
        <f>Table14[[#This Row],[_mean]]</f>
        <v>170.77499999999998</v>
      </c>
      <c r="S137" s="1" t="str">
        <f t="shared" si="53"/>
        <v>adjusted_rate</v>
      </c>
      <c r="T137" s="1" t="str">
        <f t="shared" ref="T137" si="100">_xlfn.CONCAT("['", C134, "' , '", C136, "']")</f>
        <v>['\lambda_{13}' , 'err_{13}']</v>
      </c>
      <c r="U137" s="1" t="str">
        <f t="shared" ref="U137" si="101">_xlfn.CONCAT("{", "}")</f>
        <v>{}</v>
      </c>
    </row>
    <row r="138" spans="1:21" x14ac:dyDescent="0.5">
      <c r="A138" s="1">
        <v>137</v>
      </c>
      <c r="B138" s="1">
        <f t="shared" si="84"/>
        <v>13</v>
      </c>
      <c r="C138" s="1" t="str">
        <f>_xlfn.CONCAT("c_{",Table14[[#This Row],[dm]], "}")</f>
        <v>c_{13}</v>
      </c>
      <c r="D138" s="1" t="str">
        <f>_xlfn.CONCAT("c_tas_", Table14[[#This Row],[dm]])</f>
        <v>c_tas_13</v>
      </c>
      <c r="E138" s="1" t="str">
        <f t="shared" si="51"/>
        <v>CUSTOM</v>
      </c>
      <c r="F138" s="1" t="str">
        <f>_xlfn.CONCAT("TAS ", Table14[[#This Row],[dm]], " resourses")</f>
        <v>TAS 13 resourses</v>
      </c>
      <c r="G138" s="1" t="str">
        <f>_xlfn.CONCAT("Number of resources allocated in TAS ",Table14[[#This Row],[dm]])</f>
        <v>Number of resources allocated in TAS 13</v>
      </c>
      <c r="H138" s="1" t="b">
        <f t="shared" si="91"/>
        <v>1</v>
      </c>
      <c r="I138" s="1" t="str">
        <f t="shared" si="91"/>
        <v>IN</v>
      </c>
      <c r="J138" s="1" t="str">
        <f t="shared" si="91"/>
        <v>E</v>
      </c>
      <c r="K138" s="1" t="str">
        <f t="shared" si="91"/>
        <v>req</v>
      </c>
      <c r="L138" s="1">
        <v>1</v>
      </c>
      <c r="M138" s="1">
        <f>Table14[[#This Row],[_min]]+2</f>
        <v>3</v>
      </c>
      <c r="N138" s="1">
        <f>AVERAGE(Table14[[#This Row],[_min]:[_max]])</f>
        <v>2</v>
      </c>
      <c r="O138" s="1" t="str">
        <f>Table14[[#This Row],[_units]]</f>
        <v>req</v>
      </c>
      <c r="P138" s="1">
        <f>Table14[[#This Row],[_min]]</f>
        <v>1</v>
      </c>
      <c r="Q138" s="1">
        <f>Table14[[#This Row],[_max]]</f>
        <v>3</v>
      </c>
      <c r="R138" s="1">
        <f>Table14[[#This Row],[_mean]]</f>
        <v>2</v>
      </c>
      <c r="S138" s="1" t="str">
        <f t="shared" si="53"/>
        <v>uniform_int</v>
      </c>
      <c r="T138" s="1" t="str">
        <f t="shared" si="0"/>
        <v>[]</v>
      </c>
      <c r="U138" s="1" t="str">
        <f>_xlfn.CONCAT("{'low': ", Table14[[#This Row],[_std_min]], ", 'high': ",Table14[[#This Row],[_std_max]],"}")</f>
        <v>{'low': 1, 'high': 3}</v>
      </c>
    </row>
    <row r="139" spans="1:21" x14ac:dyDescent="0.5">
      <c r="A139" s="1">
        <v>138</v>
      </c>
      <c r="B139" s="1">
        <f t="shared" si="84"/>
        <v>13</v>
      </c>
      <c r="C139" s="1" t="str">
        <f>_xlfn.CONCAT("K_{",Table14[[#This Row],[dm]],"}")</f>
        <v>K_{13}</v>
      </c>
      <c r="D139" s="1" t="str">
        <f>_xlfn.CONCAT("K_tas_", Table14[[#This Row],[dm]])</f>
        <v>K_tas_13</v>
      </c>
      <c r="E139" s="1" t="str">
        <f t="shared" si="51"/>
        <v>CUSTOM</v>
      </c>
      <c r="F139" s="1" t="str">
        <f>_xlfn.CONCAT("TAS ", Table14[[#This Row],[dm]], " q-capacity")</f>
        <v>TAS 13 q-capacity</v>
      </c>
      <c r="G139" s="1" t="str">
        <f>_xlfn.CONCAT("Allocated request capacity in TAS ",Table14[[#This Row],[dm]]," memory buffer")</f>
        <v>Allocated request capacity in TAS 13 memory buffer</v>
      </c>
      <c r="H139" s="1" t="b">
        <f t="shared" si="91"/>
        <v>1</v>
      </c>
      <c r="I139" s="1" t="str">
        <f t="shared" si="91"/>
        <v>CTRL</v>
      </c>
      <c r="J139" s="1" t="str">
        <f t="shared" si="91"/>
        <v>E</v>
      </c>
      <c r="K139" s="1" t="str">
        <f t="shared" si="91"/>
        <v>req</v>
      </c>
      <c r="L139" s="1">
        <v>1</v>
      </c>
      <c r="M139" s="1">
        <f>Table14[[#This Row],[_min]]+10</f>
        <v>11</v>
      </c>
      <c r="N139" s="1">
        <f>AVERAGE(Table14[[#This Row],[_min]:[_max]])</f>
        <v>6</v>
      </c>
      <c r="O139" s="1" t="str">
        <f>Table14[[#This Row],[_units]]</f>
        <v>req</v>
      </c>
      <c r="P139" s="1">
        <f>Table14[[#This Row],[_min]]</f>
        <v>1</v>
      </c>
      <c r="Q139" s="1">
        <f>Table14[[#This Row],[_max]]</f>
        <v>11</v>
      </c>
      <c r="R139" s="1">
        <f>Table14[[#This Row],[_mean]]</f>
        <v>6</v>
      </c>
      <c r="S139" s="1" t="str">
        <f t="shared" si="53"/>
        <v>shifted_uniform_int</v>
      </c>
      <c r="T139" s="1" t="str">
        <f t="shared" ref="T139" si="102">_xlfn.CONCAT("['", C138, "']")</f>
        <v>['c_{13}']</v>
      </c>
      <c r="U139" s="1" t="str">
        <f>_xlfn.CONCAT("{'low': ", Table14[[#This Row],[_std_min]], ", 'high': ",Table14[[#This Row],[_std_max]],"}")</f>
        <v>{'low': 1, 'high': 11}</v>
      </c>
    </row>
    <row r="140" spans="1:21" x14ac:dyDescent="0.5">
      <c r="A140" s="1">
        <v>139</v>
      </c>
      <c r="B140" s="1">
        <f t="shared" si="84"/>
        <v>13</v>
      </c>
      <c r="C140" s="1" t="str">
        <f>_xlfn.CONCAT("\delta_{", Table14[[#This Row],[dm]],"}")</f>
        <v>\delta_{13}</v>
      </c>
      <c r="D140" s="1" t="str">
        <f>_xlfn.CONCAT("delta_tas_", Table14[[#This Row],[dm]])</f>
        <v>delta_tas_13</v>
      </c>
      <c r="E140" s="1" t="str">
        <f t="shared" si="51"/>
        <v>CUSTOM</v>
      </c>
      <c r="F140" s="1" t="str">
        <f>_xlfn.CONCAT("TAS ", Table14[[#This Row],[dm]], " req data density")</f>
        <v>TAS 13 req data density</v>
      </c>
      <c r="G140" s="1" t="str">
        <f>_xlfn.CONCAT("Data density for request in TAS ", Table14[[#This Row],[dm]], " expected data per requests")</f>
        <v>Data density for request in TAS 13 expected data per requests</v>
      </c>
      <c r="H140" s="1" t="b">
        <f t="shared" si="91"/>
        <v>0</v>
      </c>
      <c r="I140" s="1" t="str">
        <f t="shared" si="91"/>
        <v>IN</v>
      </c>
      <c r="J140" s="1" t="str">
        <f t="shared" si="91"/>
        <v>D*E^-1</v>
      </c>
      <c r="K140" s="1" t="str">
        <f t="shared" si="91"/>
        <v>kB/req</v>
      </c>
      <c r="L140" s="1">
        <v>128</v>
      </c>
      <c r="M140" s="1">
        <f>2*1000</f>
        <v>2000</v>
      </c>
      <c r="N140" s="1">
        <f>AVERAGE(Table14[[#This Row],[_min]:[_max]])</f>
        <v>1064</v>
      </c>
      <c r="O140" s="1" t="s">
        <v>11</v>
      </c>
      <c r="P140" s="1">
        <f>Table14[[#This Row],[_min]]*1024000</f>
        <v>131072000</v>
      </c>
      <c r="Q140" s="1">
        <f>Table14[[#This Row],[_max]]*1024000</f>
        <v>2048000000</v>
      </c>
      <c r="R140" s="1">
        <f>Table14[[#This Row],[_mean]]*1024000</f>
        <v>1089536000</v>
      </c>
      <c r="S140" s="1" t="str">
        <f t="shared" si="53"/>
        <v>uniform</v>
      </c>
      <c r="T140" s="1" t="str">
        <f t="shared" si="0"/>
        <v>[]</v>
      </c>
      <c r="U140" s="1" t="str">
        <f>_xlfn.CONCAT("{'low': ", Table14[[#This Row],[_std_min]], ", 'high': ",Table14[[#This Row],[_std_max]],"}")</f>
        <v>{'low': 131072000, 'high': 2048000000}</v>
      </c>
    </row>
    <row r="141" spans="1:21" x14ac:dyDescent="0.5">
      <c r="A141" s="1">
        <v>140</v>
      </c>
      <c r="B141" s="1">
        <f t="shared" si="84"/>
        <v>13</v>
      </c>
      <c r="C141" s="1" t="str">
        <f>_xlfn.CONCAT("L_{",Table14[[#This Row],[dm]], "}")</f>
        <v>L_{13}</v>
      </c>
      <c r="D141" s="1" t="str">
        <f>_xlfn.CONCAT("L_tas_", Table14[[#This Row],[dm]])</f>
        <v>L_tas_13</v>
      </c>
      <c r="E141" s="1" t="str">
        <f t="shared" si="51"/>
        <v>CUSTOM</v>
      </c>
      <c r="F141" s="1" t="str">
        <f>_xlfn.CONCAT("TAS ", Table14[[#This Row],[dm]], " mean processing requests")</f>
        <v>TAS 13 mean processing requests</v>
      </c>
      <c r="G141" s="1" t="str">
        <f>_xlfn.CONCAT("Average number of request in TAS ",Table14[[#This Row],[dm]], " component")</f>
        <v>Average number of request in TAS 13 component</v>
      </c>
      <c r="H141" s="1" t="b">
        <f t="shared" si="91"/>
        <v>1</v>
      </c>
      <c r="I141" s="1" t="str">
        <f t="shared" si="91"/>
        <v>CTRL</v>
      </c>
      <c r="J141" s="1" t="str">
        <f t="shared" si="91"/>
        <v>E</v>
      </c>
      <c r="K141" s="1" t="str">
        <f t="shared" si="91"/>
        <v>req</v>
      </c>
      <c r="L141" s="1">
        <v>1</v>
      </c>
      <c r="M141" s="1">
        <f>Table14[[#This Row],[_min]]+10</f>
        <v>11</v>
      </c>
      <c r="N141" s="1">
        <f>AVERAGE(Table14[[#This Row],[_min]:[_max]])</f>
        <v>6</v>
      </c>
      <c r="O141" s="1" t="str">
        <f>Table14[[#This Row],[_units]]</f>
        <v>req</v>
      </c>
      <c r="P141" s="1">
        <f>Table14[[#This Row],[_min]]</f>
        <v>1</v>
      </c>
      <c r="Q141" s="1">
        <f>Table14[[#This Row],[_max]]</f>
        <v>11</v>
      </c>
      <c r="R141" s="1">
        <f>Table14[[#This Row],[_mean]]</f>
        <v>6</v>
      </c>
      <c r="S141" s="1" t="str">
        <f t="shared" si="53"/>
        <v>queue_length</v>
      </c>
      <c r="T141" s="1" t="str">
        <f t="shared" ref="T141" si="103">_xlfn.CONCAT("['", C134, "' , '", C135, "' , '", C138, "' , '", C139, "']")</f>
        <v>['\lambda_{13}' , '\mu_{13}' , 'c_{13}' , 'K_{13}']</v>
      </c>
      <c r="U141" s="1" t="str">
        <f t="shared" ref="U141:U144" si="104">_xlfn.CONCAT("{", "}")</f>
        <v>{}</v>
      </c>
    </row>
    <row r="142" spans="1:21" x14ac:dyDescent="0.5">
      <c r="A142" s="1">
        <v>141</v>
      </c>
      <c r="B142" s="1">
        <f t="shared" si="84"/>
        <v>13</v>
      </c>
      <c r="C142" s="1" t="str">
        <f>_xlfn.CONCAT("Lq_{",Table14[[#This Row],[dm]], "}")</f>
        <v>Lq_{13}</v>
      </c>
      <c r="D142" s="1" t="str">
        <f>_xlfn.CONCAT("Lq_tas_", Table14[[#This Row],[dm]])</f>
        <v>Lq_tas_13</v>
      </c>
      <c r="E142" s="1" t="str">
        <f t="shared" ref="E142:E144" si="105">E131</f>
        <v>CUSTOM</v>
      </c>
      <c r="F142" s="1" t="str">
        <f>_xlfn.CONCAT("TAS ", Table14[[#This Row],[dm]], " mean in memory requests")</f>
        <v>TAS 13 mean in memory requests</v>
      </c>
      <c r="G142" s="1" t="str">
        <f>_xlfn.CONCAT("Average number of request in TAS ",Table14[[#This Row],[dm]], " memory")</f>
        <v>Average number of request in TAS 13 memory</v>
      </c>
      <c r="H142" s="1" t="b">
        <f t="shared" ref="H142:K144" si="106">H131</f>
        <v>0</v>
      </c>
      <c r="I142" s="1" t="str">
        <f t="shared" si="106"/>
        <v>CTRL</v>
      </c>
      <c r="J142" s="1" t="str">
        <f t="shared" si="106"/>
        <v>E</v>
      </c>
      <c r="K142" s="1" t="str">
        <f t="shared" si="106"/>
        <v>req</v>
      </c>
      <c r="L142" s="1">
        <v>1</v>
      </c>
      <c r="M142" s="1">
        <f>Table14[[#This Row],[_min]]+10</f>
        <v>11</v>
      </c>
      <c r="N142" s="1">
        <f>AVERAGE(Table14[[#This Row],[_min]:[_max]])</f>
        <v>6</v>
      </c>
      <c r="O142" s="1" t="str">
        <f>Table14[[#This Row],[_units]]</f>
        <v>req</v>
      </c>
      <c r="P142" s="1">
        <f>Table14[[#This Row],[_min]]</f>
        <v>1</v>
      </c>
      <c r="Q142" s="1">
        <f>Table14[[#This Row],[_max]]</f>
        <v>11</v>
      </c>
      <c r="R142" s="1">
        <f>Table14[[#This Row],[_mean]]</f>
        <v>6</v>
      </c>
      <c r="S142" s="1" t="str">
        <f t="shared" ref="S142:S144" si="107">S131</f>
        <v>queue_length</v>
      </c>
      <c r="T142" s="1" t="str">
        <f t="shared" ref="T142" si="108">_xlfn.CONCAT("['", C134, "' , '", C135, "' , '", C138, "' , '", C139, "']")</f>
        <v>['\lambda_{13}' , '\mu_{13}' , 'c_{13}' , 'K_{13}']</v>
      </c>
      <c r="U142" s="1" t="str">
        <f t="shared" si="104"/>
        <v>{}</v>
      </c>
    </row>
    <row r="143" spans="1:21" x14ac:dyDescent="0.5">
      <c r="A143" s="1">
        <v>142</v>
      </c>
      <c r="B143" s="1">
        <f t="shared" si="84"/>
        <v>13</v>
      </c>
      <c r="C143" s="1" t="str">
        <f>_xlfn.CONCAT("W_{",Table14[[#This Row],[dm]], "}")</f>
        <v>W_{13}</v>
      </c>
      <c r="D143" s="1" t="str">
        <f>_xlfn.CONCAT("W_tas_", Table14[[#This Row],[dm]])</f>
        <v>W_tas_13</v>
      </c>
      <c r="E143" s="1" t="str">
        <f t="shared" si="105"/>
        <v>CUSTOM</v>
      </c>
      <c r="F143" s="1" t="str">
        <f>_xlfn.CONCAT("TAS ", Table14[[#This Row],[dm]], " mean time to answer")</f>
        <v>TAS 13 mean time to answer</v>
      </c>
      <c r="G143" s="1" t="str">
        <f>_xlfn.CONCAT("Average time to complete a request in TAS ",Table14[[#This Row],[dm]])</f>
        <v>Average time to complete a request in TAS 13</v>
      </c>
      <c r="H143" s="1" t="b">
        <f t="shared" si="106"/>
        <v>1</v>
      </c>
      <c r="I143" s="1" t="str">
        <f t="shared" si="106"/>
        <v>OUT</v>
      </c>
      <c r="J143" s="1" t="str">
        <f t="shared" si="106"/>
        <v>T</v>
      </c>
      <c r="K143" s="1" t="str">
        <f t="shared" si="106"/>
        <v>s</v>
      </c>
      <c r="L143" s="1">
        <v>0</v>
      </c>
      <c r="M143" s="8">
        <v>1.8834777097476E-3</v>
      </c>
      <c r="N143" s="8">
        <v>1.8834777097476E-3</v>
      </c>
      <c r="O143" s="1" t="str">
        <f>Table14[[#This Row],[_units]]</f>
        <v>s</v>
      </c>
      <c r="P143" s="1">
        <f>Table14[[#This Row],[_min]]</f>
        <v>0</v>
      </c>
      <c r="Q143" s="1">
        <f>Table14[[#This Row],[_max]]</f>
        <v>1.8834777097476E-3</v>
      </c>
      <c r="R143" s="1">
        <f>Table14[[#This Row],[_mean]]</f>
        <v>1.8834777097476E-3</v>
      </c>
      <c r="S143" s="1" t="str">
        <f t="shared" si="107"/>
        <v>queue_time</v>
      </c>
      <c r="T143" s="1" t="str">
        <f t="shared" ref="T143" si="109">_xlfn.CONCAT("['", C137, "' , '", C141, "']")</f>
        <v>['\chi_{13}' , 'L_{13}']</v>
      </c>
      <c r="U143" s="1" t="str">
        <f t="shared" si="104"/>
        <v>{}</v>
      </c>
    </row>
    <row r="144" spans="1:21" x14ac:dyDescent="0.5">
      <c r="A144" s="1">
        <v>143</v>
      </c>
      <c r="B144" s="1">
        <f t="shared" si="84"/>
        <v>13</v>
      </c>
      <c r="C144" s="1" t="str">
        <f>_xlfn.CONCAT("Wq_{",Table14[[#This Row],[dm]], "}")</f>
        <v>Wq_{13}</v>
      </c>
      <c r="D144" s="1" t="str">
        <f>_xlfn.CONCAT("Wq_tas_", Table14[[#This Row],[dm]])</f>
        <v>Wq_tas_13</v>
      </c>
      <c r="E144" s="1" t="str">
        <f t="shared" si="105"/>
        <v>CUSTOM</v>
      </c>
      <c r="F144" s="1" t="str">
        <f>_xlfn.CONCAT("TAS ", Table14[[#This Row],[dm]], " mean time in buffer")</f>
        <v>TAS 13 mean time in buffer</v>
      </c>
      <c r="G144" s="1" t="str">
        <f>_xlfn.CONCAT("Average time for a request to transit the buffer in TAS ",Table14[[#This Row],[dm]])</f>
        <v>Average time for a request to transit the buffer in TAS 13</v>
      </c>
      <c r="H144" s="1" t="b">
        <f t="shared" si="106"/>
        <v>0</v>
      </c>
      <c r="I144" s="1" t="str">
        <f t="shared" si="106"/>
        <v>CTRL</v>
      </c>
      <c r="J144" s="1" t="str">
        <f t="shared" si="106"/>
        <v>T</v>
      </c>
      <c r="K144" s="1" t="str">
        <f t="shared" si="106"/>
        <v>s</v>
      </c>
      <c r="L144" s="1">
        <v>0</v>
      </c>
      <c r="M144" s="8">
        <v>4.5490628117617998E-4</v>
      </c>
      <c r="N144" s="8">
        <v>4.5490628117617998E-4</v>
      </c>
      <c r="O144" s="1" t="str">
        <f>Table14[[#This Row],[_units]]</f>
        <v>s</v>
      </c>
      <c r="P144" s="1">
        <f>Table14[[#This Row],[_min]]</f>
        <v>0</v>
      </c>
      <c r="Q144" s="1">
        <f>Table14[[#This Row],[_max]]</f>
        <v>4.5490628117617998E-4</v>
      </c>
      <c r="R144" s="1">
        <f>Table14[[#This Row],[_mean]]</f>
        <v>4.5490628117617998E-4</v>
      </c>
      <c r="S144" s="1" t="str">
        <f t="shared" si="107"/>
        <v>queue_time</v>
      </c>
      <c r="T144" s="1" t="str">
        <f t="shared" ref="T144" si="110">_xlfn.CONCAT("['", C137, "' , '", C142, "']")</f>
        <v>['\chi_{13}' , 'Lq_{13}']</v>
      </c>
      <c r="U144" s="1" t="str">
        <f t="shared" si="104"/>
        <v>{}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dflt_relevance_lt@3FDUs</vt:lpstr>
      <vt:lpstr>Sheet1</vt:lpstr>
      <vt:lpstr>opti_relevance_lt@3FDUs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Felipe Arteaga Martin</cp:lastModifiedBy>
  <dcterms:created xsi:type="dcterms:W3CDTF">2025-09-01T02:49:50Z</dcterms:created>
  <dcterms:modified xsi:type="dcterms:W3CDTF">2025-10-26T20:57:25Z</dcterms:modified>
</cp:coreProperties>
</file>